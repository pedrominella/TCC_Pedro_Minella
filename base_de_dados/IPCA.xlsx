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OneDrive\Documentos\TCC_python\"/>
    </mc:Choice>
  </mc:AlternateContent>
  <xr:revisionPtr revIDLastSave="0" documentId="13_ncr:1_{00B201AD-F389-4E0E-9700-C61A972D946B}" xr6:coauthVersionLast="47" xr6:coauthVersionMax="47" xr10:uidLastSave="{00000000-0000-0000-0000-000000000000}"/>
  <bookViews>
    <workbookView xWindow="-108" yWindow="-108" windowWidth="23256" windowHeight="12456" xr2:uid="{47E4BECD-C709-4E89-90ED-AD0720138F2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8" i="1" l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V243" i="1" s="1"/>
  <c r="V244" i="1" s="1"/>
  <c r="V245" i="1" s="1"/>
  <c r="V246" i="1" s="1"/>
  <c r="V247" i="1" s="1"/>
  <c r="V248" i="1" s="1"/>
  <c r="V249" i="1" s="1"/>
  <c r="V250" i="1" s="1"/>
  <c r="V251" i="1" s="1"/>
  <c r="V252" i="1" s="1"/>
  <c r="V253" i="1" s="1"/>
  <c r="V254" i="1" s="1"/>
  <c r="V255" i="1" s="1"/>
  <c r="V256" i="1" s="1"/>
  <c r="V257" i="1" s="1"/>
  <c r="V258" i="1" s="1"/>
  <c r="V259" i="1" s="1"/>
  <c r="V260" i="1" s="1"/>
  <c r="V261" i="1" s="1"/>
  <c r="V262" i="1" s="1"/>
  <c r="V263" i="1" s="1"/>
  <c r="V264" i="1" s="1"/>
  <c r="V265" i="1" s="1"/>
  <c r="V266" i="1" s="1"/>
  <c r="V267" i="1" s="1"/>
  <c r="V268" i="1" s="1"/>
  <c r="V269" i="1" s="1"/>
  <c r="V270" i="1" s="1"/>
  <c r="V271" i="1" s="1"/>
  <c r="V272" i="1" s="1"/>
  <c r="V273" i="1" s="1"/>
  <c r="V274" i="1" s="1"/>
  <c r="V275" i="1" s="1"/>
  <c r="V276" i="1" s="1"/>
  <c r="V277" i="1" s="1"/>
  <c r="V278" i="1" s="1"/>
  <c r="V279" i="1" s="1"/>
  <c r="V280" i="1" s="1"/>
  <c r="V281" i="1" s="1"/>
  <c r="V282" i="1" s="1"/>
  <c r="V283" i="1" s="1"/>
  <c r="V284" i="1" s="1"/>
  <c r="V285" i="1" s="1"/>
  <c r="V286" i="1" s="1"/>
  <c r="V287" i="1" s="1"/>
  <c r="V288" i="1" s="1"/>
  <c r="V289" i="1" s="1"/>
  <c r="V290" i="1" s="1"/>
  <c r="V291" i="1" s="1"/>
  <c r="V292" i="1" s="1"/>
  <c r="V293" i="1" s="1"/>
  <c r="V294" i="1" s="1"/>
  <c r="V295" i="1" s="1"/>
  <c r="V296" i="1" s="1"/>
  <c r="V297" i="1" s="1"/>
  <c r="V298" i="1" s="1"/>
  <c r="V299" i="1" s="1"/>
  <c r="V300" i="1" s="1"/>
  <c r="V301" i="1" s="1"/>
  <c r="V302" i="1" s="1"/>
  <c r="V303" i="1" s="1"/>
  <c r="V304" i="1" s="1"/>
  <c r="V305" i="1" s="1"/>
  <c r="V306" i="1" s="1"/>
  <c r="V307" i="1" s="1"/>
  <c r="V308" i="1" s="1"/>
  <c r="V309" i="1" s="1"/>
  <c r="V310" i="1" s="1"/>
  <c r="V311" i="1" s="1"/>
  <c r="V312" i="1" s="1"/>
  <c r="F38" i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D38" i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O28" i="1"/>
  <c r="O29" i="1"/>
  <c r="O30" i="1"/>
  <c r="O31" i="1"/>
  <c r="O32" i="1"/>
  <c r="O33" i="1"/>
  <c r="O34" i="1"/>
  <c r="O35" i="1"/>
  <c r="O36" i="1"/>
  <c r="O37" i="1"/>
  <c r="O38" i="1"/>
  <c r="P38" i="1" s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27" i="1"/>
  <c r="O26" i="1"/>
  <c r="R38" i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T38" i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P39" i="1" l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<sst xmlns="http://schemas.openxmlformats.org/spreadsheetml/2006/main" count="85" uniqueCount="72">
  <si>
    <t>Data</t>
  </si>
  <si>
    <t>IPCA_Brasil</t>
  </si>
  <si>
    <t>Var_IPCA_Brasil</t>
  </si>
  <si>
    <t>Var_IPCA_Trans</t>
  </si>
  <si>
    <t>Cons_Gaso</t>
  </si>
  <si>
    <t>Cons_Oleo</t>
  </si>
  <si>
    <t>Var_IPCA_Comer</t>
  </si>
  <si>
    <t>Var_IPCA_NComer</t>
  </si>
  <si>
    <t>Cambio</t>
  </si>
  <si>
    <t>Preco_Barril</t>
  </si>
  <si>
    <t>Atividade</t>
  </si>
  <si>
    <t>CPI_EUA</t>
  </si>
  <si>
    <t>Selic</t>
  </si>
  <si>
    <t>GasolinaABrasil_media</t>
  </si>
  <si>
    <t>Gasolina</t>
  </si>
  <si>
    <t>Etanol</t>
  </si>
  <si>
    <t>Oleo_diesel</t>
  </si>
  <si>
    <t>Variavel</t>
  </si>
  <si>
    <t>Fonte</t>
  </si>
  <si>
    <t>Data de referência (mês/ano) das observações</t>
  </si>
  <si>
    <t>Montada na própria planilha (base para todos os dados)</t>
  </si>
  <si>
    <t>Índice de Preços ao Consumidor Amplo – nível do índice geral (base oficial do IBGE)</t>
  </si>
  <si>
    <t>IBGE – SIDRA / Sistema de Séries Temporais</t>
  </si>
  <si>
    <t>Variação mensal do IPCA geral (em %)</t>
  </si>
  <si>
    <t>Cálculo próprio a partir do IPCA_Brasil (IBGE – SIDRA)</t>
  </si>
  <si>
    <t>Variação mensal do IPCA do grupo Transportes (em %)</t>
  </si>
  <si>
    <t>IBGE – SIDRA (tabela do IPCA por grupos)</t>
  </si>
  <si>
    <t>Consumo ou preço médio de gasolina (nível em R$/litro ou indicador equivalente, conforme base original)</t>
  </si>
  <si>
    <t>ANP – preços/consumo de combustíveis (ajustar conforme planilha)</t>
  </si>
  <si>
    <t>Consumo ou preço médio de óleo diesel (nível em R$/litro ou indicador equivalente)</t>
  </si>
  <si>
    <t>Variação mensal do IPCA de bens comercializáveis (em %)</t>
  </si>
  <si>
    <t>IBGE – séries especiais de IPCA por grau de comercialização</t>
  </si>
  <si>
    <t>Variação mensal do IPCA de bens não comercializáveis (em %)</t>
  </si>
  <si>
    <t>Taxa de câmbio nominal R$/US$ (média ou fim de período, conforme especificação da série)</t>
  </si>
  <si>
    <t>Banco Central do Brasil – SGS (por exemplo séries de câmbio comercial)</t>
  </si>
  <si>
    <t>Preço internacional do barril de petróleo Brent (US$/barril)</t>
  </si>
  <si>
    <t>FRED / Trading Economics / base internacional equivalente (ajustar conforme usou)</t>
  </si>
  <si>
    <t>Índice de atividade econômica (por exemplo IBC-Br, se utilizado)</t>
  </si>
  <si>
    <t>Banco Central do Brasil – SGS (IBC-Br) – **não utilizado nos VARs finais**</t>
  </si>
  <si>
    <t>Índice de preços ao consumidor dos EUA (nível do índice)</t>
  </si>
  <si>
    <t>FRED (CPI dos EUA, ex.: CPIAUCSL) ou BLS (ajustar conforme usou)</t>
  </si>
  <si>
    <t>Taxa Selic (ao ano ou ao mês, conforme série utilizada)</t>
  </si>
  <si>
    <t>Banco Central do Brasil – SGS (ex.: série 432 – Selic)</t>
  </si>
  <si>
    <t>Índice de Commodities - Brasil - Índice</t>
  </si>
  <si>
    <t>Índice de Commodities – Brasil (IC-Br) em moeda local</t>
  </si>
  <si>
    <t>Banco Central do Brasil – SGS (ex.: série 27574 – IC-Br em R$)</t>
  </si>
  <si>
    <t>Índice de Commodities - Brasil (em US Dólares) - Índice</t>
  </si>
  <si>
    <t>Índice de Commodities – Brasil (IC-Br) em US$</t>
  </si>
  <si>
    <t>Banco Central do Brasil – SGS (ex.: série 29042 – IC-Br em US$)</t>
  </si>
  <si>
    <t>Preço médio mensal da Gasolina A (refinaria Petrobras), agregado a partir dos dados semanais</t>
  </si>
  <si>
    <t>Petrobras / ANP – preços da gasolina A na refinaria (cálculo próprio da média mensal)</t>
  </si>
  <si>
    <t>Índice ou variação de preço da gasolina ao consumidor (IPCA ou série própria de preço em R$/litro, conforme definido)</t>
  </si>
  <si>
    <t>IBGE – IPCA subitem gasolina **e/ou** ANP – preços médios ao consumidor (ajustar conforme usou)</t>
  </si>
  <si>
    <t>Índice ou variação de preço do etanol hidratado ao consumidor</t>
  </si>
  <si>
    <t>ANP – preços médios ao consumidor / IBGE – IPCA subitem etanol (conforme usado)</t>
  </si>
  <si>
    <t>Índice ou variação de preço do óleo diesel ao consumidor</t>
  </si>
  <si>
    <t>ANP – preços médios ao consumidor / IBGE – IPCA subitem óleo diesel (conforme usado)</t>
  </si>
  <si>
    <t>Descriçao</t>
  </si>
  <si>
    <t>Var_Gasolina</t>
  </si>
  <si>
    <t>Var_Etanol</t>
  </si>
  <si>
    <t>Var_Oleo_diesel</t>
  </si>
  <si>
    <t>Gasolina_nivel</t>
  </si>
  <si>
    <t>Etanol_nivel</t>
  </si>
  <si>
    <t>Oleo_diesel_nivel</t>
  </si>
  <si>
    <t>Var_GasolinaABrasil_media</t>
  </si>
  <si>
    <t>GasolinaABrasil_media_nivel</t>
  </si>
  <si>
    <t>IPCA_Geral_nivel</t>
  </si>
  <si>
    <t>IPCA_Geral</t>
  </si>
  <si>
    <t>Var_IPCA_Geral</t>
  </si>
  <si>
    <t>IPCA_Trans_nivel</t>
  </si>
  <si>
    <t>meta_inflcao</t>
  </si>
  <si>
    <t>Expectativa_inflacao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</si>
</sst>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64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STXinwei"/>
      <charset val="134"/>
    </font>
    <font>
      <sz val="12"/>
      <color rgb="FF000000"/>
      <name val="STXinwei"/>
      <charset val="134"/>
    </font>
    <font>
      <sz val="12"/>
      <color theme="1"/>
      <name val="STXinwei"/>
      <charset val="134"/>
    </font>
    <font>
      <sz val="12"/>
      <color indexed="64"/>
      <name val="STXinwei"/>
      <charset val="134"/>
    </font>
    <font>
      <b/>
      <sz val="12"/>
      <color theme="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E8F1"/>
        <bgColor indexed="64"/>
      </patternFill>
    </fill>
    <fill>
      <patternFill patternType="solid">
        <fgColor rgb="FFACC6D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1AAB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5E9ED"/>
        <bgColor indexed="64"/>
      </patternFill>
    </fill>
    <fill>
      <patternFill patternType="solid">
        <fgColor rgb="FFF2F4F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F9F9F"/>
      </left>
      <right/>
      <top/>
      <bottom style="medium">
        <color rgb="FF9F9F9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6" fillId="6" borderId="1" xfId="0" applyFont="1" applyFill="1" applyBorder="1"/>
    <xf numFmtId="0" fontId="5" fillId="5" borderId="1" xfId="0" applyFont="1" applyFill="1" applyBorder="1" applyAlignment="1">
      <alignment horizontal="right" vertical="center" wrapText="1"/>
    </xf>
    <xf numFmtId="0" fontId="6" fillId="0" borderId="1" xfId="0" applyFont="1" applyBorder="1"/>
    <xf numFmtId="2" fontId="6" fillId="6" borderId="1" xfId="0" applyNumberFormat="1" applyFont="1" applyFill="1" applyBorder="1" applyAlignment="1">
      <alignment horizontal="center" vertical="center"/>
    </xf>
    <xf numFmtId="0" fontId="7" fillId="0" borderId="1" xfId="3" applyFont="1" applyBorder="1"/>
    <xf numFmtId="4" fontId="5" fillId="4" borderId="1" xfId="0" applyNumberFormat="1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vertical="center" wrapText="1"/>
    </xf>
    <xf numFmtId="0" fontId="6" fillId="0" borderId="0" xfId="0" applyFont="1"/>
    <xf numFmtId="0" fontId="5" fillId="8" borderId="2" xfId="0" applyFont="1" applyFill="1" applyBorder="1" applyAlignment="1">
      <alignment vertical="center" wrapText="1"/>
    </xf>
    <xf numFmtId="0" fontId="8" fillId="2" borderId="3" xfId="3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10" fillId="0" borderId="0" xfId="0" applyFont="1"/>
    <xf numFmtId="0" fontId="9" fillId="10" borderId="0" xfId="0" applyFont="1" applyFill="1" applyAlignment="1">
      <alignment horizontal="center" vertical="center" wrapText="1"/>
    </xf>
  </cellXfs>
  <cellStyles count="4">
    <cellStyle name="Normal" xfId="0" builtinId="0"/>
    <cellStyle name="Normal 2" xfId="1" xr:uid="{19DC1285-CE7A-49D5-90C1-A384508762D9}"/>
    <cellStyle name="Normal 3" xfId="2" xr:uid="{ADAA9DEF-D8FD-43D0-88B1-3970D32F6319}"/>
    <cellStyle name="Normal 4" xfId="3" xr:uid="{42D48DF3-0F15-457E-9BF3-D2FE6936BE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309</xdr:row>
      <xdr:rowOff>0</xdr:rowOff>
    </xdr:from>
    <xdr:to>
      <xdr:col>4</xdr:col>
      <xdr:colOff>7620</xdr:colOff>
      <xdr:row>309</xdr:row>
      <xdr:rowOff>7620</xdr:rowOff>
    </xdr:to>
    <xdr:pic>
      <xdr:nvPicPr>
        <xdr:cNvPr id="2" name="grd_IADD" descr="|">
          <a:extLst>
            <a:ext uri="{FF2B5EF4-FFF2-40B4-BE49-F238E27FC236}">
              <a16:creationId xmlns:a16="http://schemas.microsoft.com/office/drawing/2014/main" id="{64111831-54D4-C91D-49EB-42FACFC7F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8520" y="59428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309</xdr:row>
      <xdr:rowOff>0</xdr:rowOff>
    </xdr:from>
    <xdr:to>
      <xdr:col>4</xdr:col>
      <xdr:colOff>7620</xdr:colOff>
      <xdr:row>309</xdr:row>
      <xdr:rowOff>7620</xdr:rowOff>
    </xdr:to>
    <xdr:pic>
      <xdr:nvPicPr>
        <xdr:cNvPr id="3" name="grd_IADU" descr="|">
          <a:extLst>
            <a:ext uri="{FF2B5EF4-FFF2-40B4-BE49-F238E27FC236}">
              <a16:creationId xmlns:a16="http://schemas.microsoft.com/office/drawing/2014/main" id="{FAFF0031-076B-487F-AB43-07736707F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3760" y="59428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7620</xdr:colOff>
      <xdr:row>310</xdr:row>
      <xdr:rowOff>7620</xdr:rowOff>
    </xdr:to>
    <xdr:pic>
      <xdr:nvPicPr>
        <xdr:cNvPr id="4" name="grd_IADD" descr="|">
          <a:extLst>
            <a:ext uri="{FF2B5EF4-FFF2-40B4-BE49-F238E27FC236}">
              <a16:creationId xmlns:a16="http://schemas.microsoft.com/office/drawing/2014/main" id="{593B7059-01E7-FEC4-33FA-2C8F4BABD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8520" y="59618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7620</xdr:colOff>
      <xdr:row>310</xdr:row>
      <xdr:rowOff>7620</xdr:rowOff>
    </xdr:to>
    <xdr:pic>
      <xdr:nvPicPr>
        <xdr:cNvPr id="5" name="grd_IADU" descr="|">
          <a:extLst>
            <a:ext uri="{FF2B5EF4-FFF2-40B4-BE49-F238E27FC236}">
              <a16:creationId xmlns:a16="http://schemas.microsoft.com/office/drawing/2014/main" id="{47FE049A-76AC-3C18-E8A4-078F4C304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3760" y="59618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7620</xdr:colOff>
      <xdr:row>310</xdr:row>
      <xdr:rowOff>7620</xdr:rowOff>
    </xdr:to>
    <xdr:pic>
      <xdr:nvPicPr>
        <xdr:cNvPr id="8" name="grd_IADD" descr="|">
          <a:extLst>
            <a:ext uri="{FF2B5EF4-FFF2-40B4-BE49-F238E27FC236}">
              <a16:creationId xmlns:a16="http://schemas.microsoft.com/office/drawing/2014/main" id="{A3E61AA9-2BB5-E60C-21FD-B2040E5EC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8520" y="59618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7620</xdr:colOff>
      <xdr:row>310</xdr:row>
      <xdr:rowOff>7620</xdr:rowOff>
    </xdr:to>
    <xdr:pic>
      <xdr:nvPicPr>
        <xdr:cNvPr id="9" name="grd_IADU" descr="|">
          <a:extLst>
            <a:ext uri="{FF2B5EF4-FFF2-40B4-BE49-F238E27FC236}">
              <a16:creationId xmlns:a16="http://schemas.microsoft.com/office/drawing/2014/main" id="{6597C841-3100-4213-D9C6-5BB00C4F7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3760" y="59618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7620</xdr:colOff>
      <xdr:row>310</xdr:row>
      <xdr:rowOff>7620</xdr:rowOff>
    </xdr:to>
    <xdr:pic>
      <xdr:nvPicPr>
        <xdr:cNvPr id="10" name="grd_IADD" descr="|">
          <a:extLst>
            <a:ext uri="{FF2B5EF4-FFF2-40B4-BE49-F238E27FC236}">
              <a16:creationId xmlns:a16="http://schemas.microsoft.com/office/drawing/2014/main" id="{88C6F935-A699-5DC5-1169-CCE62C61F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8520" y="59618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7620</xdr:colOff>
      <xdr:row>310</xdr:row>
      <xdr:rowOff>7620</xdr:rowOff>
    </xdr:to>
    <xdr:pic>
      <xdr:nvPicPr>
        <xdr:cNvPr id="11" name="grd_IADU" descr="|">
          <a:extLst>
            <a:ext uri="{FF2B5EF4-FFF2-40B4-BE49-F238E27FC236}">
              <a16:creationId xmlns:a16="http://schemas.microsoft.com/office/drawing/2014/main" id="{332EE250-250C-4979-056F-D6BD6DA9B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3760" y="59618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312</xdr:row>
      <xdr:rowOff>0</xdr:rowOff>
    </xdr:from>
    <xdr:to>
      <xdr:col>13</xdr:col>
      <xdr:colOff>7620</xdr:colOff>
      <xdr:row>312</xdr:row>
      <xdr:rowOff>7620</xdr:rowOff>
    </xdr:to>
    <xdr:pic>
      <xdr:nvPicPr>
        <xdr:cNvPr id="12" name="grd_IADD" descr="|">
          <a:extLst>
            <a:ext uri="{FF2B5EF4-FFF2-40B4-BE49-F238E27FC236}">
              <a16:creationId xmlns:a16="http://schemas.microsoft.com/office/drawing/2014/main" id="{234ACF60-5D02-8254-FBA7-3A6B8C54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8520" y="59999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312</xdr:row>
      <xdr:rowOff>0</xdr:rowOff>
    </xdr:from>
    <xdr:to>
      <xdr:col>13</xdr:col>
      <xdr:colOff>7620</xdr:colOff>
      <xdr:row>312</xdr:row>
      <xdr:rowOff>7620</xdr:rowOff>
    </xdr:to>
    <xdr:pic>
      <xdr:nvPicPr>
        <xdr:cNvPr id="13" name="grd_IADU" descr="|">
          <a:extLst>
            <a:ext uri="{FF2B5EF4-FFF2-40B4-BE49-F238E27FC236}">
              <a16:creationId xmlns:a16="http://schemas.microsoft.com/office/drawing/2014/main" id="{B43CFA61-EC62-514C-4892-34BE94CC4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3760" y="59999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309</xdr:row>
      <xdr:rowOff>0</xdr:rowOff>
    </xdr:from>
    <xdr:to>
      <xdr:col>8</xdr:col>
      <xdr:colOff>7620</xdr:colOff>
      <xdr:row>309</xdr:row>
      <xdr:rowOff>7620</xdr:rowOff>
    </xdr:to>
    <xdr:pic>
      <xdr:nvPicPr>
        <xdr:cNvPr id="14" name="grd_IADD" descr="|">
          <a:extLst>
            <a:ext uri="{FF2B5EF4-FFF2-40B4-BE49-F238E27FC236}">
              <a16:creationId xmlns:a16="http://schemas.microsoft.com/office/drawing/2014/main" id="{CF9F2B8A-D629-130E-022F-462FDAB95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8080" y="59436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309</xdr:row>
      <xdr:rowOff>0</xdr:rowOff>
    </xdr:from>
    <xdr:to>
      <xdr:col>8</xdr:col>
      <xdr:colOff>7620</xdr:colOff>
      <xdr:row>309</xdr:row>
      <xdr:rowOff>7620</xdr:rowOff>
    </xdr:to>
    <xdr:pic>
      <xdr:nvPicPr>
        <xdr:cNvPr id="15" name="grd_IADU" descr="|">
          <a:extLst>
            <a:ext uri="{FF2B5EF4-FFF2-40B4-BE49-F238E27FC236}">
              <a16:creationId xmlns:a16="http://schemas.microsoft.com/office/drawing/2014/main" id="{0C5C2438-7C7E-9F3E-C535-CB55A3081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3320" y="59436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310</xdr:row>
      <xdr:rowOff>0</xdr:rowOff>
    </xdr:from>
    <xdr:to>
      <xdr:col>13</xdr:col>
      <xdr:colOff>7620</xdr:colOff>
      <xdr:row>310</xdr:row>
      <xdr:rowOff>7620</xdr:rowOff>
    </xdr:to>
    <xdr:pic>
      <xdr:nvPicPr>
        <xdr:cNvPr id="6" name="grd_IADD" descr="|">
          <a:extLst>
            <a:ext uri="{FF2B5EF4-FFF2-40B4-BE49-F238E27FC236}">
              <a16:creationId xmlns:a16="http://schemas.microsoft.com/office/drawing/2014/main" id="{711B20CC-F600-70C7-77B2-90FF4B244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8080" y="59626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310</xdr:row>
      <xdr:rowOff>0</xdr:rowOff>
    </xdr:from>
    <xdr:to>
      <xdr:col>13</xdr:col>
      <xdr:colOff>7620</xdr:colOff>
      <xdr:row>310</xdr:row>
      <xdr:rowOff>7620</xdr:rowOff>
    </xdr:to>
    <xdr:pic>
      <xdr:nvPicPr>
        <xdr:cNvPr id="7" name="grd_IADU" descr="|">
          <a:extLst>
            <a:ext uri="{FF2B5EF4-FFF2-40B4-BE49-F238E27FC236}">
              <a16:creationId xmlns:a16="http://schemas.microsoft.com/office/drawing/2014/main" id="{FA1E47D7-BD55-3060-DE3D-21ABD4462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3320" y="59626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309</xdr:row>
      <xdr:rowOff>0</xdr:rowOff>
    </xdr:from>
    <xdr:to>
      <xdr:col>13</xdr:col>
      <xdr:colOff>7620</xdr:colOff>
      <xdr:row>309</xdr:row>
      <xdr:rowOff>7620</xdr:rowOff>
    </xdr:to>
    <xdr:pic>
      <xdr:nvPicPr>
        <xdr:cNvPr id="18" name="grd_IADD" descr="|">
          <a:extLst>
            <a:ext uri="{FF2B5EF4-FFF2-40B4-BE49-F238E27FC236}">
              <a16:creationId xmlns:a16="http://schemas.microsoft.com/office/drawing/2014/main" id="{67D4C502-DF27-5F97-6CD0-649DDAA91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8080" y="59436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309</xdr:row>
      <xdr:rowOff>0</xdr:rowOff>
    </xdr:from>
    <xdr:to>
      <xdr:col>13</xdr:col>
      <xdr:colOff>7620</xdr:colOff>
      <xdr:row>309</xdr:row>
      <xdr:rowOff>7620</xdr:rowOff>
    </xdr:to>
    <xdr:pic>
      <xdr:nvPicPr>
        <xdr:cNvPr id="19" name="grd_IADU" descr="|">
          <a:extLst>
            <a:ext uri="{FF2B5EF4-FFF2-40B4-BE49-F238E27FC236}">
              <a16:creationId xmlns:a16="http://schemas.microsoft.com/office/drawing/2014/main" id="{C6FD1F2F-960E-264A-6875-7F7A2E7DA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3320" y="59436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310</xdr:row>
      <xdr:rowOff>0</xdr:rowOff>
    </xdr:from>
    <xdr:to>
      <xdr:col>13</xdr:col>
      <xdr:colOff>7620</xdr:colOff>
      <xdr:row>310</xdr:row>
      <xdr:rowOff>7620</xdr:rowOff>
    </xdr:to>
    <xdr:pic>
      <xdr:nvPicPr>
        <xdr:cNvPr id="16" name="grd_IADD" descr="|">
          <a:extLst>
            <a:ext uri="{FF2B5EF4-FFF2-40B4-BE49-F238E27FC236}">
              <a16:creationId xmlns:a16="http://schemas.microsoft.com/office/drawing/2014/main" id="{30B4AB27-3C87-2C0F-35D3-6B1136835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37280" y="59809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310</xdr:row>
      <xdr:rowOff>0</xdr:rowOff>
    </xdr:from>
    <xdr:to>
      <xdr:col>13</xdr:col>
      <xdr:colOff>7620</xdr:colOff>
      <xdr:row>310</xdr:row>
      <xdr:rowOff>7620</xdr:rowOff>
    </xdr:to>
    <xdr:pic>
      <xdr:nvPicPr>
        <xdr:cNvPr id="17" name="grd_IADU" descr="|">
          <a:extLst>
            <a:ext uri="{FF2B5EF4-FFF2-40B4-BE49-F238E27FC236}">
              <a16:creationId xmlns:a16="http://schemas.microsoft.com/office/drawing/2014/main" id="{5370FBE3-89EB-C44B-FA21-D5BE2A96F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2520" y="59809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317</xdr:row>
      <xdr:rowOff>0</xdr:rowOff>
    </xdr:from>
    <xdr:to>
      <xdr:col>22</xdr:col>
      <xdr:colOff>7620</xdr:colOff>
      <xdr:row>317</xdr:row>
      <xdr:rowOff>7620</xdr:rowOff>
    </xdr:to>
    <xdr:pic>
      <xdr:nvPicPr>
        <xdr:cNvPr id="22" name="grd_IADD" descr="|">
          <a:extLst>
            <a:ext uri="{FF2B5EF4-FFF2-40B4-BE49-F238E27FC236}">
              <a16:creationId xmlns:a16="http://schemas.microsoft.com/office/drawing/2014/main" id="{B6781EB4-7D12-B469-A843-7CB517977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80340" y="656920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15240</xdr:colOff>
      <xdr:row>317</xdr:row>
      <xdr:rowOff>0</xdr:rowOff>
    </xdr:from>
    <xdr:to>
      <xdr:col>22</xdr:col>
      <xdr:colOff>22860</xdr:colOff>
      <xdr:row>317</xdr:row>
      <xdr:rowOff>7620</xdr:rowOff>
    </xdr:to>
    <xdr:pic>
      <xdr:nvPicPr>
        <xdr:cNvPr id="23" name="grd_IADU" descr="|">
          <a:extLst>
            <a:ext uri="{FF2B5EF4-FFF2-40B4-BE49-F238E27FC236}">
              <a16:creationId xmlns:a16="http://schemas.microsoft.com/office/drawing/2014/main" id="{A0FEB5E7-77FF-1BDD-4B86-19120C504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95580" y="656920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317</xdr:row>
      <xdr:rowOff>0</xdr:rowOff>
    </xdr:from>
    <xdr:to>
      <xdr:col>22</xdr:col>
      <xdr:colOff>7620</xdr:colOff>
      <xdr:row>317</xdr:row>
      <xdr:rowOff>7620</xdr:rowOff>
    </xdr:to>
    <xdr:pic>
      <xdr:nvPicPr>
        <xdr:cNvPr id="24" name="grd_IADD" descr="|">
          <a:extLst>
            <a:ext uri="{FF2B5EF4-FFF2-40B4-BE49-F238E27FC236}">
              <a16:creationId xmlns:a16="http://schemas.microsoft.com/office/drawing/2014/main" id="{4BE6EDB3-D105-51D3-513B-885CA212C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80340" y="656920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15240</xdr:colOff>
      <xdr:row>317</xdr:row>
      <xdr:rowOff>0</xdr:rowOff>
    </xdr:from>
    <xdr:to>
      <xdr:col>22</xdr:col>
      <xdr:colOff>22860</xdr:colOff>
      <xdr:row>317</xdr:row>
      <xdr:rowOff>7620</xdr:rowOff>
    </xdr:to>
    <xdr:pic>
      <xdr:nvPicPr>
        <xdr:cNvPr id="25" name="grd_IADU" descr="|">
          <a:extLst>
            <a:ext uri="{FF2B5EF4-FFF2-40B4-BE49-F238E27FC236}">
              <a16:creationId xmlns:a16="http://schemas.microsoft.com/office/drawing/2014/main" id="{84E54D75-EF17-588A-9BCF-042C2FC7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95580" y="656920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316</xdr:row>
      <xdr:rowOff>0</xdr:rowOff>
    </xdr:from>
    <xdr:to>
      <xdr:col>23</xdr:col>
      <xdr:colOff>7620</xdr:colOff>
      <xdr:row>316</xdr:row>
      <xdr:rowOff>7620</xdr:rowOff>
    </xdr:to>
    <xdr:pic>
      <xdr:nvPicPr>
        <xdr:cNvPr id="28" name="grd_IADD" descr="|">
          <a:extLst>
            <a:ext uri="{FF2B5EF4-FFF2-40B4-BE49-F238E27FC236}">
              <a16:creationId xmlns:a16="http://schemas.microsoft.com/office/drawing/2014/main" id="{931C83A8-020F-527C-C877-9BAB41BFD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89940" y="65509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316</xdr:row>
      <xdr:rowOff>0</xdr:rowOff>
    </xdr:from>
    <xdr:to>
      <xdr:col>23</xdr:col>
      <xdr:colOff>7620</xdr:colOff>
      <xdr:row>316</xdr:row>
      <xdr:rowOff>7620</xdr:rowOff>
    </xdr:to>
    <xdr:pic>
      <xdr:nvPicPr>
        <xdr:cNvPr id="29" name="grd_IADU" descr="|">
          <a:extLst>
            <a:ext uri="{FF2B5EF4-FFF2-40B4-BE49-F238E27FC236}">
              <a16:creationId xmlns:a16="http://schemas.microsoft.com/office/drawing/2014/main" id="{D74564DB-2664-487D-3EED-C9EE147D7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05180" y="65509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Hide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837-DD13-4138-AFC0-053CA5B48DDD}">
  <dimension ref="A1:Y318"/>
  <sheetViews>
    <sheetView tabSelected="1" topLeftCell="I1" zoomScale="70" zoomScaleNormal="70" workbookViewId="0">
      <selection activeCell="V16" sqref="V16"/>
    </sheetView>
  </sheetViews>
  <sheetFormatPr defaultRowHeight="15.6" x14ac:dyDescent="0.3"/>
  <cols>
    <col min="1" max="1" width="13.77734375" bestFit="1" customWidth="1"/>
    <col min="2" max="2" width="14.77734375" bestFit="1" customWidth="1"/>
    <col min="3" max="3" width="17.33203125" customWidth="1"/>
    <col min="4" max="4" width="21.88671875" bestFit="1" customWidth="1"/>
    <col min="5" max="5" width="16.21875" customWidth="1"/>
    <col min="6" max="6" width="22" bestFit="1" customWidth="1"/>
    <col min="7" max="7" width="15.109375" bestFit="1" customWidth="1"/>
    <col min="8" max="8" width="15.77734375" bestFit="1" customWidth="1"/>
    <col min="9" max="9" width="8.6640625" bestFit="1" customWidth="1"/>
    <col min="10" max="10" width="14.77734375" bestFit="1" customWidth="1"/>
    <col min="11" max="11" width="9.5546875" bestFit="1" customWidth="1"/>
    <col min="12" max="12" width="8.5546875" bestFit="1" customWidth="1"/>
    <col min="13" max="13" width="7.44140625" bestFit="1" customWidth="1"/>
    <col min="14" max="14" width="21.44140625" bestFit="1" customWidth="1"/>
    <col min="15" max="15" width="25.21875" bestFit="1" customWidth="1"/>
    <col min="16" max="16" width="42.33203125" customWidth="1"/>
    <col min="17" max="17" width="12" bestFit="1" customWidth="1"/>
    <col min="18" max="18" width="19.5546875" customWidth="1"/>
    <col min="19" max="19" width="14.109375" bestFit="1" customWidth="1"/>
    <col min="20" max="20" width="17.33203125" customWidth="1"/>
    <col min="21" max="21" width="17.44140625" bestFit="1" customWidth="1"/>
    <col min="22" max="22" width="21.6640625" customWidth="1"/>
    <col min="23" max="23" width="9" bestFit="1" customWidth="1"/>
    <col min="24" max="24" width="31.44140625" customWidth="1"/>
    <col min="25" max="25" width="13.5546875" style="21" customWidth="1"/>
  </cols>
  <sheetData>
    <row r="1" spans="1:25" ht="60" customHeight="1" x14ac:dyDescent="0.3">
      <c r="A1" s="3" t="s">
        <v>0</v>
      </c>
      <c r="B1" s="3" t="s">
        <v>67</v>
      </c>
      <c r="C1" s="4" t="s">
        <v>68</v>
      </c>
      <c r="D1" s="3" t="s">
        <v>66</v>
      </c>
      <c r="E1" s="4" t="s">
        <v>3</v>
      </c>
      <c r="F1" s="3" t="s">
        <v>69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64</v>
      </c>
      <c r="P1" s="4" t="s">
        <v>65</v>
      </c>
      <c r="Q1" s="5" t="s">
        <v>58</v>
      </c>
      <c r="R1" s="5" t="s">
        <v>61</v>
      </c>
      <c r="S1" s="5" t="s">
        <v>59</v>
      </c>
      <c r="T1" s="5" t="s">
        <v>62</v>
      </c>
      <c r="U1" s="5" t="s">
        <v>60</v>
      </c>
      <c r="V1" s="5" t="s">
        <v>63</v>
      </c>
      <c r="W1" s="5" t="s">
        <v>12</v>
      </c>
      <c r="X1" s="5" t="s">
        <v>71</v>
      </c>
      <c r="Y1" s="19" t="s">
        <v>70</v>
      </c>
    </row>
    <row r="2" spans="1:25" x14ac:dyDescent="0.3">
      <c r="A2" s="6">
        <v>36526</v>
      </c>
      <c r="B2" s="7">
        <v>1598.41</v>
      </c>
      <c r="C2" s="8">
        <v>0.62</v>
      </c>
      <c r="D2" s="9"/>
      <c r="E2" s="10">
        <v>0.39</v>
      </c>
      <c r="F2" s="9"/>
      <c r="G2" s="8">
        <v>0.47</v>
      </c>
      <c r="H2" s="8">
        <v>0.85</v>
      </c>
      <c r="I2" s="8">
        <v>1.8037000000000001</v>
      </c>
      <c r="J2" s="11">
        <v>25.510999999999999</v>
      </c>
      <c r="K2" s="12"/>
      <c r="L2" s="8">
        <v>169.3</v>
      </c>
      <c r="M2" s="8">
        <v>1.46</v>
      </c>
      <c r="N2" s="9"/>
      <c r="O2" s="9"/>
      <c r="P2" s="9"/>
      <c r="Q2" s="13">
        <v>-0.36</v>
      </c>
      <c r="R2" s="9"/>
      <c r="S2" s="13">
        <v>0.12</v>
      </c>
      <c r="T2" s="9"/>
      <c r="U2" s="13">
        <v>-0.12</v>
      </c>
      <c r="V2" s="9"/>
      <c r="W2" s="8">
        <v>19</v>
      </c>
      <c r="X2" s="9"/>
      <c r="Y2" s="20">
        <v>6</v>
      </c>
    </row>
    <row r="3" spans="1:25" x14ac:dyDescent="0.3">
      <c r="A3" s="6">
        <v>36557</v>
      </c>
      <c r="B3" s="14">
        <v>1600.49</v>
      </c>
      <c r="C3" s="10">
        <v>0.13</v>
      </c>
      <c r="D3" s="9"/>
      <c r="E3" s="8">
        <v>0.4</v>
      </c>
      <c r="F3" s="9"/>
      <c r="G3" s="10">
        <v>0.1</v>
      </c>
      <c r="H3" s="10">
        <v>0.37</v>
      </c>
      <c r="I3" s="10">
        <v>1.7753000000000001</v>
      </c>
      <c r="J3" s="11">
        <v>27.77571428571428</v>
      </c>
      <c r="K3" s="12"/>
      <c r="L3" s="10">
        <v>170</v>
      </c>
      <c r="M3" s="10">
        <v>1.45</v>
      </c>
      <c r="N3" s="9"/>
      <c r="O3" s="9"/>
      <c r="P3" s="9"/>
      <c r="Q3" s="13">
        <v>-1.55</v>
      </c>
      <c r="R3" s="9"/>
      <c r="S3" s="13">
        <v>-0.3</v>
      </c>
      <c r="T3" s="9"/>
      <c r="U3" s="13">
        <v>-0.37</v>
      </c>
      <c r="V3" s="9"/>
      <c r="W3" s="10">
        <v>18.86</v>
      </c>
      <c r="X3" s="9"/>
      <c r="Y3" s="20">
        <v>6</v>
      </c>
    </row>
    <row r="4" spans="1:25" x14ac:dyDescent="0.3">
      <c r="A4" s="6">
        <v>36586</v>
      </c>
      <c r="B4" s="7">
        <v>1604.01</v>
      </c>
      <c r="C4" s="8">
        <v>0.22</v>
      </c>
      <c r="D4" s="9"/>
      <c r="E4" s="10">
        <v>1.68</v>
      </c>
      <c r="F4" s="9"/>
      <c r="G4" s="8">
        <v>-0.33</v>
      </c>
      <c r="H4" s="8">
        <v>0.15</v>
      </c>
      <c r="I4" s="8">
        <v>1.742</v>
      </c>
      <c r="J4" s="11">
        <v>27.486086956521739</v>
      </c>
      <c r="K4" s="12"/>
      <c r="L4" s="8">
        <v>171</v>
      </c>
      <c r="M4" s="8">
        <v>1.45</v>
      </c>
      <c r="N4" s="9"/>
      <c r="O4" s="9"/>
      <c r="P4" s="9"/>
      <c r="Q4" s="13">
        <v>4.8899999999999997</v>
      </c>
      <c r="R4" s="9"/>
      <c r="S4" s="13">
        <v>0.28000000000000003</v>
      </c>
      <c r="T4" s="9"/>
      <c r="U4" s="13">
        <v>4.1399999999999997</v>
      </c>
      <c r="V4" s="9"/>
      <c r="W4" s="8">
        <v>18.86</v>
      </c>
      <c r="X4" s="9"/>
      <c r="Y4" s="20">
        <v>6</v>
      </c>
    </row>
    <row r="5" spans="1:25" x14ac:dyDescent="0.3">
      <c r="A5" s="6">
        <v>36617</v>
      </c>
      <c r="B5" s="14">
        <v>1610.75</v>
      </c>
      <c r="C5" s="10">
        <v>0.42</v>
      </c>
      <c r="D5" s="9"/>
      <c r="E5" s="8">
        <v>0.51</v>
      </c>
      <c r="F5" s="9"/>
      <c r="G5" s="10">
        <v>0.05</v>
      </c>
      <c r="H5" s="10">
        <v>1.1100000000000001</v>
      </c>
      <c r="I5" s="10">
        <v>1.7682</v>
      </c>
      <c r="J5" s="11">
        <v>22.76444444444444</v>
      </c>
      <c r="K5" s="12"/>
      <c r="L5" s="15">
        <v>170.9</v>
      </c>
      <c r="M5" s="10">
        <v>1.3</v>
      </c>
      <c r="N5" s="9"/>
      <c r="O5" s="9"/>
      <c r="P5" s="9"/>
      <c r="Q5" s="13">
        <v>-0.22</v>
      </c>
      <c r="R5" s="9"/>
      <c r="S5" s="13">
        <v>-0.91</v>
      </c>
      <c r="T5" s="9"/>
      <c r="U5" s="13">
        <v>0.96</v>
      </c>
      <c r="V5" s="9"/>
      <c r="W5" s="10">
        <v>16.77</v>
      </c>
      <c r="X5" s="9"/>
      <c r="Y5" s="20">
        <v>6</v>
      </c>
    </row>
    <row r="6" spans="1:25" x14ac:dyDescent="0.3">
      <c r="A6" s="6">
        <v>36647</v>
      </c>
      <c r="B6" s="7">
        <v>1610.91</v>
      </c>
      <c r="C6" s="8">
        <v>0.01</v>
      </c>
      <c r="D6" s="9"/>
      <c r="E6" s="10">
        <v>0.13</v>
      </c>
      <c r="F6" s="9"/>
      <c r="G6" s="8">
        <v>-0.04</v>
      </c>
      <c r="H6" s="8">
        <v>-0.11</v>
      </c>
      <c r="I6" s="8">
        <v>1.8279000000000001</v>
      </c>
      <c r="J6" s="11">
        <v>27.737619047619049</v>
      </c>
      <c r="K6" s="12"/>
      <c r="L6" s="8">
        <v>171.2</v>
      </c>
      <c r="M6" s="8">
        <v>1.49</v>
      </c>
      <c r="N6" s="9"/>
      <c r="O6" s="9"/>
      <c r="P6" s="9"/>
      <c r="Q6" s="13">
        <v>0.01</v>
      </c>
      <c r="R6" s="9"/>
      <c r="S6" s="13">
        <v>-0.63</v>
      </c>
      <c r="T6" s="9"/>
      <c r="U6" s="13">
        <v>-0.09</v>
      </c>
      <c r="V6" s="9"/>
      <c r="W6" s="8">
        <v>19.420000000000002</v>
      </c>
      <c r="X6" s="9"/>
      <c r="Y6" s="20">
        <v>6</v>
      </c>
    </row>
    <row r="7" spans="1:25" x14ac:dyDescent="0.3">
      <c r="A7" s="6">
        <v>36678</v>
      </c>
      <c r="B7" s="14">
        <v>1614.62</v>
      </c>
      <c r="C7" s="10">
        <v>0.23</v>
      </c>
      <c r="D7" s="9"/>
      <c r="E7" s="8">
        <v>0.03</v>
      </c>
      <c r="F7" s="9"/>
      <c r="G7" s="10">
        <v>0.59</v>
      </c>
      <c r="H7" s="10">
        <v>-0.15</v>
      </c>
      <c r="I7" s="10">
        <v>1.8083</v>
      </c>
      <c r="J7" s="11">
        <v>29.79545454545455</v>
      </c>
      <c r="K7" s="12"/>
      <c r="L7" s="10">
        <v>172.2</v>
      </c>
      <c r="M7" s="10">
        <v>1.39</v>
      </c>
      <c r="N7" s="9"/>
      <c r="O7" s="9"/>
      <c r="P7" s="9"/>
      <c r="Q7" s="13">
        <v>-0.92</v>
      </c>
      <c r="R7" s="9"/>
      <c r="S7" s="13">
        <v>-1.55</v>
      </c>
      <c r="T7" s="9"/>
      <c r="U7" s="13">
        <v>7.0000000000000007E-2</v>
      </c>
      <c r="V7" s="9"/>
      <c r="W7" s="10">
        <v>18.02</v>
      </c>
      <c r="X7" s="9"/>
      <c r="Y7" s="20">
        <v>6</v>
      </c>
    </row>
    <row r="8" spans="1:25" x14ac:dyDescent="0.3">
      <c r="A8" s="6">
        <v>36708</v>
      </c>
      <c r="B8" s="7">
        <v>1640.62</v>
      </c>
      <c r="C8" s="8">
        <v>1.61</v>
      </c>
      <c r="D8" s="9"/>
      <c r="E8" s="10">
        <v>2.98</v>
      </c>
      <c r="F8" s="9"/>
      <c r="G8" s="8">
        <v>1.37</v>
      </c>
      <c r="H8" s="8">
        <v>0.01</v>
      </c>
      <c r="I8" s="8">
        <v>1.7978000000000001</v>
      </c>
      <c r="J8" s="11">
        <v>28.682380952380949</v>
      </c>
      <c r="K8" s="12"/>
      <c r="L8" s="8">
        <v>172.7</v>
      </c>
      <c r="M8" s="8">
        <v>1.31</v>
      </c>
      <c r="N8" s="9"/>
      <c r="O8" s="9"/>
      <c r="P8" s="9"/>
      <c r="Q8" s="13">
        <v>10.27</v>
      </c>
      <c r="R8" s="9"/>
      <c r="S8" s="13">
        <v>13.44</v>
      </c>
      <c r="T8" s="9"/>
      <c r="U8" s="13">
        <v>7.19</v>
      </c>
      <c r="V8" s="9"/>
      <c r="W8" s="8">
        <v>16.899999999999999</v>
      </c>
      <c r="X8" s="9"/>
      <c r="Y8" s="20">
        <v>6</v>
      </c>
    </row>
    <row r="9" spans="1:25" x14ac:dyDescent="0.3">
      <c r="A9" s="6">
        <v>36739</v>
      </c>
      <c r="B9" s="14">
        <v>1662.11</v>
      </c>
      <c r="C9" s="10">
        <v>1.31</v>
      </c>
      <c r="D9" s="9"/>
      <c r="E9" s="8">
        <v>2.7</v>
      </c>
      <c r="F9" s="9"/>
      <c r="G9" s="10">
        <v>1.0900000000000001</v>
      </c>
      <c r="H9" s="10">
        <v>0.56999999999999995</v>
      </c>
      <c r="I9" s="10">
        <v>1.8091999999999999</v>
      </c>
      <c r="J9" s="11">
        <v>30.196086956521739</v>
      </c>
      <c r="K9" s="12"/>
      <c r="L9" s="10">
        <v>172.7</v>
      </c>
      <c r="M9" s="10">
        <v>1.41</v>
      </c>
      <c r="N9" s="9"/>
      <c r="O9" s="9"/>
      <c r="P9" s="9"/>
      <c r="Q9" s="13">
        <v>7.54</v>
      </c>
      <c r="R9" s="9"/>
      <c r="S9" s="13">
        <v>16.7</v>
      </c>
      <c r="T9" s="9"/>
      <c r="U9" s="13">
        <v>4.12</v>
      </c>
      <c r="V9" s="9"/>
      <c r="W9" s="10">
        <v>18.3</v>
      </c>
      <c r="X9" s="9"/>
      <c r="Y9" s="20">
        <v>6</v>
      </c>
    </row>
    <row r="10" spans="1:25" x14ac:dyDescent="0.3">
      <c r="A10" s="6">
        <v>36770</v>
      </c>
      <c r="B10" s="7">
        <v>1665.93</v>
      </c>
      <c r="C10" s="8">
        <v>0.23</v>
      </c>
      <c r="D10" s="9"/>
      <c r="E10" s="10">
        <v>-0.01</v>
      </c>
      <c r="F10" s="9"/>
      <c r="G10" s="8">
        <v>0.25</v>
      </c>
      <c r="H10" s="8">
        <v>0.4</v>
      </c>
      <c r="I10" s="8">
        <v>1.8391999999999999</v>
      </c>
      <c r="J10" s="11">
        <v>33.1447619047619</v>
      </c>
      <c r="K10" s="12"/>
      <c r="L10" s="8">
        <v>173.6</v>
      </c>
      <c r="M10" s="8">
        <v>1.22</v>
      </c>
      <c r="N10" s="9"/>
      <c r="O10" s="9"/>
      <c r="P10" s="9"/>
      <c r="Q10" s="13">
        <v>-1.7</v>
      </c>
      <c r="R10" s="9"/>
      <c r="S10" s="13">
        <v>0.81</v>
      </c>
      <c r="T10" s="9"/>
      <c r="U10" s="13">
        <v>-0.1</v>
      </c>
      <c r="V10" s="9"/>
      <c r="W10" s="8">
        <v>15.66</v>
      </c>
      <c r="X10" s="9"/>
      <c r="Y10" s="20">
        <v>6</v>
      </c>
    </row>
    <row r="11" spans="1:25" x14ac:dyDescent="0.3">
      <c r="A11" s="6">
        <v>36800</v>
      </c>
      <c r="B11" s="14">
        <v>1668.26</v>
      </c>
      <c r="C11" s="10">
        <v>0.14000000000000001</v>
      </c>
      <c r="D11" s="9"/>
      <c r="E11" s="8">
        <v>0.13</v>
      </c>
      <c r="F11" s="9"/>
      <c r="G11" s="10">
        <v>0.01</v>
      </c>
      <c r="H11" s="10">
        <v>0.42</v>
      </c>
      <c r="I11" s="10">
        <v>1.8795999999999999</v>
      </c>
      <c r="J11" s="11">
        <v>30.960909090909091</v>
      </c>
      <c r="K11" s="12"/>
      <c r="L11" s="10">
        <v>173.9</v>
      </c>
      <c r="M11" s="10">
        <v>1.29</v>
      </c>
      <c r="N11" s="9"/>
      <c r="O11" s="9"/>
      <c r="P11" s="9"/>
      <c r="Q11" s="13">
        <v>-7.0000000000000007E-2</v>
      </c>
      <c r="R11" s="9"/>
      <c r="S11" s="13">
        <v>-1.55</v>
      </c>
      <c r="T11" s="9"/>
      <c r="U11" s="13">
        <v>-0.09</v>
      </c>
      <c r="V11" s="9"/>
      <c r="W11" s="10">
        <v>16.63</v>
      </c>
      <c r="X11" s="9"/>
      <c r="Y11" s="20">
        <v>6</v>
      </c>
    </row>
    <row r="12" spans="1:25" x14ac:dyDescent="0.3">
      <c r="A12" s="6">
        <v>36831</v>
      </c>
      <c r="B12" s="7">
        <v>1673.6</v>
      </c>
      <c r="C12" s="8">
        <v>0.32</v>
      </c>
      <c r="D12" s="9"/>
      <c r="E12" s="10">
        <v>0.71</v>
      </c>
      <c r="F12" s="9"/>
      <c r="G12" s="8">
        <v>-0.04</v>
      </c>
      <c r="H12" s="8">
        <v>0.17</v>
      </c>
      <c r="I12" s="8">
        <v>1.948</v>
      </c>
      <c r="J12" s="11">
        <v>32.552272727272729</v>
      </c>
      <c r="K12" s="12"/>
      <c r="L12" s="8">
        <v>174.2</v>
      </c>
      <c r="M12" s="8">
        <v>1.22</v>
      </c>
      <c r="N12" s="9"/>
      <c r="O12" s="9"/>
      <c r="P12" s="9"/>
      <c r="Q12" s="13">
        <v>2.8</v>
      </c>
      <c r="R12" s="9"/>
      <c r="S12" s="13">
        <v>0.96</v>
      </c>
      <c r="T12" s="9"/>
      <c r="U12" s="13">
        <v>2.09</v>
      </c>
      <c r="V12" s="9"/>
      <c r="W12" s="8">
        <v>15.66</v>
      </c>
      <c r="X12" s="9"/>
      <c r="Y12" s="20">
        <v>6</v>
      </c>
    </row>
    <row r="13" spans="1:25" x14ac:dyDescent="0.3">
      <c r="A13" s="6">
        <v>36861</v>
      </c>
      <c r="B13" s="14">
        <v>1683.47</v>
      </c>
      <c r="C13" s="10">
        <v>0.59</v>
      </c>
      <c r="D13" s="9"/>
      <c r="E13" s="8">
        <v>1.87</v>
      </c>
      <c r="F13" s="9"/>
      <c r="G13" s="10">
        <v>7.0000000000000007E-2</v>
      </c>
      <c r="H13" s="10">
        <v>-0.12</v>
      </c>
      <c r="I13" s="10">
        <v>1.9633</v>
      </c>
      <c r="J13" s="11">
        <v>25.66</v>
      </c>
      <c r="K13" s="12"/>
      <c r="L13" s="10">
        <v>174.6</v>
      </c>
      <c r="M13" s="10">
        <v>1.2</v>
      </c>
      <c r="N13" s="9"/>
      <c r="O13" s="9"/>
      <c r="P13" s="9"/>
      <c r="Q13" s="13">
        <v>7.32</v>
      </c>
      <c r="R13" s="9"/>
      <c r="S13" s="13">
        <v>3.28</v>
      </c>
      <c r="T13" s="9"/>
      <c r="U13" s="13">
        <v>6.85</v>
      </c>
      <c r="V13" s="9"/>
      <c r="W13" s="10">
        <v>15.39</v>
      </c>
      <c r="X13" s="9"/>
      <c r="Y13" s="20">
        <v>6</v>
      </c>
    </row>
    <row r="14" spans="1:25" x14ac:dyDescent="0.3">
      <c r="A14" s="6">
        <v>36892</v>
      </c>
      <c r="B14" s="7">
        <v>1693.07</v>
      </c>
      <c r="C14" s="8">
        <v>0.56999999999999995</v>
      </c>
      <c r="D14" s="9"/>
      <c r="E14" s="10">
        <v>0.72</v>
      </c>
      <c r="F14" s="9"/>
      <c r="G14" s="8">
        <v>0.28000000000000003</v>
      </c>
      <c r="H14" s="8">
        <v>0.71</v>
      </c>
      <c r="I14" s="8">
        <v>1.9544999999999999</v>
      </c>
      <c r="J14" s="11">
        <v>25.624545454545451</v>
      </c>
      <c r="K14" s="12"/>
      <c r="L14" s="8">
        <v>175.6</v>
      </c>
      <c r="M14" s="8">
        <v>1.27</v>
      </c>
      <c r="N14" s="9"/>
      <c r="O14" s="9"/>
      <c r="P14" s="9"/>
      <c r="Q14" s="13">
        <v>0.15</v>
      </c>
      <c r="R14" s="9"/>
      <c r="S14" s="13">
        <v>1.26</v>
      </c>
      <c r="T14" s="9"/>
      <c r="U14" s="13">
        <v>-0.1</v>
      </c>
      <c r="V14" s="9"/>
      <c r="W14" s="8">
        <v>16.350000000000001</v>
      </c>
      <c r="X14" s="9"/>
      <c r="Y14" s="22">
        <v>4</v>
      </c>
    </row>
    <row r="15" spans="1:25" x14ac:dyDescent="0.3">
      <c r="A15" s="6">
        <v>36923</v>
      </c>
      <c r="B15" s="14">
        <v>1700.86</v>
      </c>
      <c r="C15" s="10">
        <v>0.46</v>
      </c>
      <c r="D15" s="9"/>
      <c r="E15" s="8">
        <v>0.77</v>
      </c>
      <c r="F15" s="9"/>
      <c r="G15" s="10">
        <v>0.1</v>
      </c>
      <c r="H15" s="10">
        <v>0.78</v>
      </c>
      <c r="I15" s="10">
        <v>2.0019</v>
      </c>
      <c r="J15" s="11">
        <v>27.503499999999999</v>
      </c>
      <c r="K15" s="12"/>
      <c r="L15" s="10">
        <v>176</v>
      </c>
      <c r="M15" s="10">
        <v>1.02</v>
      </c>
      <c r="N15" s="9"/>
      <c r="O15" s="9"/>
      <c r="P15" s="9"/>
      <c r="Q15" s="13">
        <v>-7.0000000000000007E-2</v>
      </c>
      <c r="R15" s="9"/>
      <c r="S15" s="13">
        <v>-0.56000000000000005</v>
      </c>
      <c r="T15" s="9"/>
      <c r="U15" s="13">
        <v>0.27</v>
      </c>
      <c r="V15" s="9"/>
      <c r="W15" s="10">
        <v>12.95</v>
      </c>
      <c r="X15" s="9"/>
      <c r="Y15" s="22">
        <v>4</v>
      </c>
    </row>
    <row r="16" spans="1:25" x14ac:dyDescent="0.3">
      <c r="A16" s="6">
        <v>36951</v>
      </c>
      <c r="B16" s="7">
        <v>1707.32</v>
      </c>
      <c r="C16" s="8">
        <v>0.38</v>
      </c>
      <c r="D16" s="9"/>
      <c r="E16" s="10">
        <v>0.12</v>
      </c>
      <c r="F16" s="9"/>
      <c r="G16" s="8">
        <v>0.41</v>
      </c>
      <c r="H16" s="8">
        <v>0.63</v>
      </c>
      <c r="I16" s="8">
        <v>2.089</v>
      </c>
      <c r="J16" s="11">
        <v>24.49727272727273</v>
      </c>
      <c r="K16" s="12"/>
      <c r="L16" s="8">
        <v>176.1</v>
      </c>
      <c r="M16" s="8">
        <v>1.26</v>
      </c>
      <c r="N16" s="9"/>
      <c r="O16" s="9"/>
      <c r="P16" s="9"/>
      <c r="Q16" s="13">
        <v>-0.33</v>
      </c>
      <c r="R16" s="9"/>
      <c r="S16" s="13">
        <v>-1.25</v>
      </c>
      <c r="T16" s="9"/>
      <c r="U16" s="13">
        <v>-0.02</v>
      </c>
      <c r="V16" s="9"/>
      <c r="W16" s="8">
        <v>16.21</v>
      </c>
      <c r="X16" s="9"/>
      <c r="Y16" s="22">
        <v>4</v>
      </c>
    </row>
    <row r="17" spans="1:25" x14ac:dyDescent="0.3">
      <c r="A17" s="6">
        <v>36982</v>
      </c>
      <c r="B17" s="14">
        <v>1717.22</v>
      </c>
      <c r="C17" s="10">
        <v>0.57999999999999996</v>
      </c>
      <c r="D17" s="9"/>
      <c r="E17" s="8">
        <v>-0.32</v>
      </c>
      <c r="F17" s="9"/>
      <c r="G17" s="10">
        <v>0.6</v>
      </c>
      <c r="H17" s="10">
        <v>1.06</v>
      </c>
      <c r="I17" s="10">
        <v>2.1924999999999999</v>
      </c>
      <c r="J17" s="11">
        <v>25.657142857142851</v>
      </c>
      <c r="K17" s="12"/>
      <c r="L17" s="10">
        <v>176.4</v>
      </c>
      <c r="M17" s="10">
        <v>1.19</v>
      </c>
      <c r="N17" s="9"/>
      <c r="O17" s="9"/>
      <c r="P17" s="9"/>
      <c r="Q17" s="13">
        <v>-1.73</v>
      </c>
      <c r="R17" s="9"/>
      <c r="S17" s="13">
        <v>-2.59</v>
      </c>
      <c r="T17" s="9"/>
      <c r="U17" s="13">
        <v>-0.12</v>
      </c>
      <c r="V17" s="9"/>
      <c r="W17" s="10">
        <v>15.25</v>
      </c>
      <c r="X17" s="9"/>
      <c r="Y17" s="22">
        <v>4</v>
      </c>
    </row>
    <row r="18" spans="1:25" x14ac:dyDescent="0.3">
      <c r="A18" s="6">
        <v>37012</v>
      </c>
      <c r="B18" s="7">
        <v>1724.26</v>
      </c>
      <c r="C18" s="8">
        <v>0.41</v>
      </c>
      <c r="D18" s="9"/>
      <c r="E18" s="10">
        <v>0.3</v>
      </c>
      <c r="F18" s="9"/>
      <c r="G18" s="8">
        <v>0.45</v>
      </c>
      <c r="H18" s="8">
        <v>0.36</v>
      </c>
      <c r="I18" s="8">
        <v>2.2972000000000001</v>
      </c>
      <c r="J18" s="11">
        <v>28.313636363636359</v>
      </c>
      <c r="K18" s="12"/>
      <c r="L18" s="8">
        <v>177.3</v>
      </c>
      <c r="M18" s="8">
        <v>1.34</v>
      </c>
      <c r="N18" s="9"/>
      <c r="O18" s="9"/>
      <c r="P18" s="9"/>
      <c r="Q18" s="13">
        <v>-1.23</v>
      </c>
      <c r="R18" s="9"/>
      <c r="S18" s="13">
        <v>-2.15</v>
      </c>
      <c r="T18" s="9"/>
      <c r="U18" s="13">
        <v>0.2</v>
      </c>
      <c r="V18" s="9"/>
      <c r="W18" s="8">
        <v>17.32</v>
      </c>
      <c r="X18" s="9"/>
      <c r="Y18" s="22">
        <v>4</v>
      </c>
    </row>
    <row r="19" spans="1:25" x14ac:dyDescent="0.3">
      <c r="A19" s="6">
        <v>37043</v>
      </c>
      <c r="B19" s="14">
        <v>1733.23</v>
      </c>
      <c r="C19" s="10">
        <v>0.52</v>
      </c>
      <c r="D19" s="9"/>
      <c r="E19" s="8">
        <v>1.34</v>
      </c>
      <c r="F19" s="9"/>
      <c r="G19" s="10">
        <v>0.27</v>
      </c>
      <c r="H19" s="10">
        <v>0.05</v>
      </c>
      <c r="I19" s="10">
        <v>2.3757999999999999</v>
      </c>
      <c r="J19" s="11">
        <v>27.849047619047621</v>
      </c>
      <c r="K19" s="12"/>
      <c r="L19" s="10">
        <v>177.7</v>
      </c>
      <c r="M19" s="10">
        <v>1.27</v>
      </c>
      <c r="N19" s="9"/>
      <c r="O19" s="9"/>
      <c r="P19" s="9"/>
      <c r="Q19" s="13">
        <v>-0.46</v>
      </c>
      <c r="R19" s="9"/>
      <c r="S19" s="13">
        <v>-1.4</v>
      </c>
      <c r="T19" s="9"/>
      <c r="U19" s="13">
        <v>-0.14000000000000001</v>
      </c>
      <c r="V19" s="9"/>
      <c r="W19" s="10">
        <v>16.350000000000001</v>
      </c>
      <c r="X19" s="9"/>
      <c r="Y19" s="22">
        <v>4</v>
      </c>
    </row>
    <row r="20" spans="1:25" x14ac:dyDescent="0.3">
      <c r="A20" s="6">
        <v>37073</v>
      </c>
      <c r="B20" s="7">
        <v>1756.28</v>
      </c>
      <c r="C20" s="8">
        <v>1.33</v>
      </c>
      <c r="D20" s="9"/>
      <c r="E20" s="10">
        <v>2.08</v>
      </c>
      <c r="F20" s="9"/>
      <c r="G20" s="8">
        <v>0.73</v>
      </c>
      <c r="H20" s="8">
        <v>0.42</v>
      </c>
      <c r="I20" s="8">
        <v>2.4660000000000002</v>
      </c>
      <c r="J20" s="11">
        <v>24.61363636363636</v>
      </c>
      <c r="K20" s="12"/>
      <c r="L20" s="8">
        <v>177.4</v>
      </c>
      <c r="M20" s="8">
        <v>1.5</v>
      </c>
      <c r="N20" s="9"/>
      <c r="O20" s="9"/>
      <c r="P20" s="9"/>
      <c r="Q20" s="13">
        <v>7.01</v>
      </c>
      <c r="R20" s="9"/>
      <c r="S20" s="13">
        <v>-1.06</v>
      </c>
      <c r="T20" s="9"/>
      <c r="U20" s="13">
        <v>5.09</v>
      </c>
      <c r="V20" s="9"/>
      <c r="W20" s="8">
        <v>19.559999999999999</v>
      </c>
      <c r="X20" s="8">
        <v>6.4</v>
      </c>
      <c r="Y20" s="22">
        <v>4</v>
      </c>
    </row>
    <row r="21" spans="1:25" x14ac:dyDescent="0.3">
      <c r="A21" s="6">
        <v>37104</v>
      </c>
      <c r="B21" s="14">
        <v>1768.57</v>
      </c>
      <c r="C21" s="10">
        <v>0.7</v>
      </c>
      <c r="D21" s="9"/>
      <c r="E21" s="8">
        <v>0.64</v>
      </c>
      <c r="F21" s="9"/>
      <c r="G21" s="10">
        <v>0.63</v>
      </c>
      <c r="H21" s="10">
        <v>0.57999999999999996</v>
      </c>
      <c r="I21" s="10">
        <v>2.5106000000000002</v>
      </c>
      <c r="J21" s="11">
        <v>25.68</v>
      </c>
      <c r="K21" s="12"/>
      <c r="L21" s="10">
        <v>177.4</v>
      </c>
      <c r="M21" s="10">
        <v>1.6</v>
      </c>
      <c r="N21" s="9"/>
      <c r="O21" s="9"/>
      <c r="P21" s="9"/>
      <c r="Q21" s="13">
        <v>0.98</v>
      </c>
      <c r="R21" s="9"/>
      <c r="S21" s="13">
        <v>-0.6</v>
      </c>
      <c r="T21" s="9"/>
      <c r="U21" s="13">
        <v>3.04</v>
      </c>
      <c r="V21" s="9"/>
      <c r="W21" s="10">
        <v>20.98</v>
      </c>
      <c r="X21" s="10">
        <v>6.57</v>
      </c>
      <c r="Y21" s="22">
        <v>4</v>
      </c>
    </row>
    <row r="22" spans="1:25" x14ac:dyDescent="0.3">
      <c r="A22" s="6">
        <v>37135</v>
      </c>
      <c r="B22" s="7">
        <v>1773.52</v>
      </c>
      <c r="C22" s="8">
        <v>0.28000000000000003</v>
      </c>
      <c r="D22" s="9"/>
      <c r="E22" s="10">
        <v>7.0000000000000007E-2</v>
      </c>
      <c r="F22" s="9"/>
      <c r="G22" s="8">
        <v>0.28999999999999998</v>
      </c>
      <c r="H22" s="8">
        <v>0.13</v>
      </c>
      <c r="I22" s="8">
        <v>2.6717</v>
      </c>
      <c r="J22" s="11">
        <v>25.619499999999999</v>
      </c>
      <c r="K22" s="12"/>
      <c r="L22" s="8">
        <v>178.1</v>
      </c>
      <c r="M22" s="8">
        <v>1.32</v>
      </c>
      <c r="N22" s="9"/>
      <c r="O22" s="9"/>
      <c r="P22" s="9"/>
      <c r="Q22" s="13">
        <v>-0.57999999999999996</v>
      </c>
      <c r="R22" s="9"/>
      <c r="S22" s="13">
        <v>-0.16</v>
      </c>
      <c r="T22" s="9"/>
      <c r="U22" s="13">
        <v>0.84</v>
      </c>
      <c r="V22" s="9"/>
      <c r="W22" s="8">
        <v>17.04</v>
      </c>
      <c r="X22" s="8">
        <v>6.53</v>
      </c>
      <c r="Y22" s="22">
        <v>4</v>
      </c>
    </row>
    <row r="23" spans="1:25" x14ac:dyDescent="0.3">
      <c r="A23" s="6">
        <v>37165</v>
      </c>
      <c r="B23" s="14">
        <v>1788.24</v>
      </c>
      <c r="C23" s="10">
        <v>0.83</v>
      </c>
      <c r="D23" s="9"/>
      <c r="E23" s="8">
        <v>0.98</v>
      </c>
      <c r="F23" s="9"/>
      <c r="G23" s="10">
        <v>1.03</v>
      </c>
      <c r="H23" s="10">
        <v>0.34</v>
      </c>
      <c r="I23" s="10">
        <v>2.7402000000000002</v>
      </c>
      <c r="J23" s="11">
        <v>20.537826086956521</v>
      </c>
      <c r="K23" s="12"/>
      <c r="L23" s="10">
        <v>177.6</v>
      </c>
      <c r="M23" s="10">
        <v>1.53</v>
      </c>
      <c r="N23" s="9"/>
      <c r="O23" s="9"/>
      <c r="P23" s="9"/>
      <c r="Q23" s="13">
        <v>3.58</v>
      </c>
      <c r="R23" s="9"/>
      <c r="S23" s="13">
        <v>1.83</v>
      </c>
      <c r="T23" s="9"/>
      <c r="U23" s="13">
        <v>4.21</v>
      </c>
      <c r="V23" s="9"/>
      <c r="W23" s="10">
        <v>19.989999999999998</v>
      </c>
      <c r="X23" s="10">
        <v>6.49</v>
      </c>
      <c r="Y23" s="22">
        <v>4</v>
      </c>
    </row>
    <row r="24" spans="1:25" x14ac:dyDescent="0.3">
      <c r="A24" s="6">
        <v>37196</v>
      </c>
      <c r="B24" s="7">
        <v>1800.94</v>
      </c>
      <c r="C24" s="8">
        <v>0.71</v>
      </c>
      <c r="D24" s="9"/>
      <c r="E24" s="10">
        <v>0.35</v>
      </c>
      <c r="F24" s="9"/>
      <c r="G24" s="8">
        <v>1.25</v>
      </c>
      <c r="H24" s="8">
        <v>0.21</v>
      </c>
      <c r="I24" s="8">
        <v>2.5430999999999999</v>
      </c>
      <c r="J24" s="11">
        <v>18.79727272727273</v>
      </c>
      <c r="K24" s="12"/>
      <c r="L24" s="8">
        <v>177.5</v>
      </c>
      <c r="M24" s="8">
        <v>1.39</v>
      </c>
      <c r="N24" s="9"/>
      <c r="O24" s="9"/>
      <c r="P24" s="9"/>
      <c r="Q24" s="13">
        <v>0.28999999999999998</v>
      </c>
      <c r="R24" s="9"/>
      <c r="S24" s="13">
        <v>0.74</v>
      </c>
      <c r="T24" s="9"/>
      <c r="U24" s="13">
        <v>1.55</v>
      </c>
      <c r="V24" s="9"/>
      <c r="W24" s="8">
        <v>18.02</v>
      </c>
      <c r="X24" s="15">
        <v>5.57</v>
      </c>
      <c r="Y24" s="22">
        <v>4</v>
      </c>
    </row>
    <row r="25" spans="1:25" x14ac:dyDescent="0.3">
      <c r="A25" s="6">
        <v>37226</v>
      </c>
      <c r="B25" s="14">
        <v>1812.65</v>
      </c>
      <c r="C25" s="10">
        <v>0.65</v>
      </c>
      <c r="D25" s="9"/>
      <c r="E25" s="8">
        <v>0.69</v>
      </c>
      <c r="F25" s="9"/>
      <c r="G25" s="10">
        <v>1.03</v>
      </c>
      <c r="H25" s="10">
        <v>0.31</v>
      </c>
      <c r="I25" s="10">
        <v>2.3626999999999998</v>
      </c>
      <c r="J25" s="11">
        <v>18.705263157894731</v>
      </c>
      <c r="K25" s="12"/>
      <c r="L25" s="10">
        <v>177.4</v>
      </c>
      <c r="M25" s="10">
        <v>1.39</v>
      </c>
      <c r="N25" s="9"/>
      <c r="O25" s="9"/>
      <c r="P25" s="9"/>
      <c r="Q25" s="13">
        <v>-0.34</v>
      </c>
      <c r="R25" s="9"/>
      <c r="S25" s="13">
        <v>-0.61</v>
      </c>
      <c r="T25" s="9"/>
      <c r="U25" s="13">
        <v>0.02</v>
      </c>
      <c r="V25" s="9"/>
      <c r="W25" s="10">
        <v>18.02</v>
      </c>
      <c r="X25" s="10">
        <v>4.84</v>
      </c>
      <c r="Y25" s="22">
        <v>4</v>
      </c>
    </row>
    <row r="26" spans="1:25" x14ac:dyDescent="0.3">
      <c r="A26" s="6">
        <v>37257</v>
      </c>
      <c r="B26" s="7">
        <v>1822.08</v>
      </c>
      <c r="C26" s="8">
        <v>0.52</v>
      </c>
      <c r="D26" s="9"/>
      <c r="E26" s="10">
        <v>-1.5</v>
      </c>
      <c r="F26" s="9"/>
      <c r="G26" s="8">
        <v>0.56999999999999995</v>
      </c>
      <c r="H26" s="8">
        <v>0.59</v>
      </c>
      <c r="I26" s="8">
        <v>2.3778999999999999</v>
      </c>
      <c r="J26" s="11">
        <v>19.416818181818179</v>
      </c>
      <c r="K26" s="12"/>
      <c r="L26" s="8">
        <v>177.7</v>
      </c>
      <c r="M26" s="8">
        <v>1.53</v>
      </c>
      <c r="N26" s="11">
        <v>0.81020999999999999</v>
      </c>
      <c r="O26" s="11">
        <f>(N26-N25)/N26</f>
        <v>1</v>
      </c>
      <c r="P26" s="9"/>
      <c r="Q26" s="13">
        <v>-9.92</v>
      </c>
      <c r="R26" s="9"/>
      <c r="S26" s="13">
        <v>-0.76</v>
      </c>
      <c r="T26" s="9"/>
      <c r="U26" s="13">
        <v>-1.78</v>
      </c>
      <c r="V26" s="9"/>
      <c r="W26" s="8">
        <v>19.989999999999998</v>
      </c>
      <c r="X26" s="8">
        <v>4.76</v>
      </c>
      <c r="Y26" s="20">
        <v>3.5</v>
      </c>
    </row>
    <row r="27" spans="1:25" x14ac:dyDescent="0.3">
      <c r="A27" s="6">
        <v>37288</v>
      </c>
      <c r="B27" s="14">
        <v>1828.64</v>
      </c>
      <c r="C27" s="10">
        <v>0.36</v>
      </c>
      <c r="D27" s="9"/>
      <c r="E27" s="8">
        <v>-0.5</v>
      </c>
      <c r="F27" s="9"/>
      <c r="G27" s="10">
        <v>0.35</v>
      </c>
      <c r="H27" s="10">
        <v>0.97</v>
      </c>
      <c r="I27" s="10">
        <v>2.4196</v>
      </c>
      <c r="J27" s="11">
        <v>20.275500000000001</v>
      </c>
      <c r="K27" s="12"/>
      <c r="L27" s="10">
        <v>178</v>
      </c>
      <c r="M27" s="10">
        <v>1.25</v>
      </c>
      <c r="N27" s="11">
        <v>0.81459999999999999</v>
      </c>
      <c r="O27" s="11">
        <f>((N27-N26)/N27)*100</f>
        <v>0.53891480481217846</v>
      </c>
      <c r="P27" s="9"/>
      <c r="Q27" s="13">
        <v>-5.12</v>
      </c>
      <c r="R27" s="9"/>
      <c r="S27" s="13">
        <v>-0.45</v>
      </c>
      <c r="T27" s="9"/>
      <c r="U27" s="13">
        <v>0.57999999999999996</v>
      </c>
      <c r="V27" s="9"/>
      <c r="W27" s="10">
        <v>16.079999999999998</v>
      </c>
      <c r="X27" s="10">
        <v>4.7</v>
      </c>
      <c r="Y27" s="20">
        <v>3.5</v>
      </c>
    </row>
    <row r="28" spans="1:25" x14ac:dyDescent="0.3">
      <c r="A28" s="6">
        <v>37316</v>
      </c>
      <c r="B28" s="7">
        <v>1839.61</v>
      </c>
      <c r="C28" s="8">
        <v>0.6</v>
      </c>
      <c r="D28" s="9"/>
      <c r="E28" s="10">
        <v>1.04</v>
      </c>
      <c r="F28" s="9"/>
      <c r="G28" s="8">
        <v>0.31</v>
      </c>
      <c r="H28" s="8">
        <v>0.45</v>
      </c>
      <c r="I28" s="8">
        <v>2.3466</v>
      </c>
      <c r="J28" s="11">
        <v>23.696666666666669</v>
      </c>
      <c r="K28" s="12"/>
      <c r="L28" s="8">
        <v>178.5</v>
      </c>
      <c r="M28" s="8">
        <v>1.37</v>
      </c>
      <c r="N28" s="11">
        <v>0.87672000000000005</v>
      </c>
      <c r="O28" s="11">
        <f t="shared" ref="O28:O91" si="0">((N28-N27)/N28)*100</f>
        <v>7.0855005018706159</v>
      </c>
      <c r="P28" s="9"/>
      <c r="Q28" s="13">
        <v>4.16</v>
      </c>
      <c r="R28" s="9"/>
      <c r="S28" s="13">
        <v>0.38</v>
      </c>
      <c r="T28" s="9"/>
      <c r="U28" s="13">
        <v>0.96</v>
      </c>
      <c r="V28" s="9"/>
      <c r="W28" s="8">
        <v>17.739999999999998</v>
      </c>
      <c r="X28" s="8">
        <v>4.9400000000000004</v>
      </c>
      <c r="Y28" s="20">
        <v>3.5</v>
      </c>
    </row>
    <row r="29" spans="1:25" x14ac:dyDescent="0.3">
      <c r="A29" s="6">
        <v>37347</v>
      </c>
      <c r="B29" s="14">
        <v>1854.33</v>
      </c>
      <c r="C29" s="10">
        <v>0.8</v>
      </c>
      <c r="D29" s="9"/>
      <c r="E29" s="8">
        <v>2.02</v>
      </c>
      <c r="F29" s="9"/>
      <c r="G29" s="10">
        <v>0.11</v>
      </c>
      <c r="H29" s="10">
        <v>0.51</v>
      </c>
      <c r="I29" s="10">
        <v>2.3203999999999998</v>
      </c>
      <c r="J29" s="11">
        <v>25.714333333333329</v>
      </c>
      <c r="K29" s="12"/>
      <c r="L29" s="10">
        <v>179.3</v>
      </c>
      <c r="M29" s="10">
        <v>1.48</v>
      </c>
      <c r="N29" s="11">
        <v>0.99036000000000002</v>
      </c>
      <c r="O29" s="11">
        <f t="shared" si="0"/>
        <v>11.474615291409181</v>
      </c>
      <c r="P29" s="9"/>
      <c r="Q29" s="13">
        <v>8.6999999999999993</v>
      </c>
      <c r="R29" s="9"/>
      <c r="S29" s="13">
        <v>-0.03</v>
      </c>
      <c r="T29" s="9"/>
      <c r="U29" s="13">
        <v>7.59</v>
      </c>
      <c r="V29" s="9"/>
      <c r="W29" s="10">
        <v>19.28</v>
      </c>
      <c r="X29" s="10">
        <v>4.9000000000000004</v>
      </c>
      <c r="Y29" s="20">
        <v>3.5</v>
      </c>
    </row>
    <row r="30" spans="1:25" x14ac:dyDescent="0.3">
      <c r="A30" s="6">
        <v>37377</v>
      </c>
      <c r="B30" s="7">
        <v>1858.22</v>
      </c>
      <c r="C30" s="8">
        <v>0.21</v>
      </c>
      <c r="D30" s="9"/>
      <c r="E30" s="10">
        <v>0.33</v>
      </c>
      <c r="F30" s="9"/>
      <c r="G30" s="8">
        <v>7.0000000000000007E-2</v>
      </c>
      <c r="H30" s="8">
        <v>0.3</v>
      </c>
      <c r="I30" s="8">
        <v>2.4803999999999999</v>
      </c>
      <c r="J30" s="11">
        <v>25.662258064516131</v>
      </c>
      <c r="K30" s="12"/>
      <c r="L30" s="8">
        <v>179.5</v>
      </c>
      <c r="M30" s="8">
        <v>1.41</v>
      </c>
      <c r="N30" s="11">
        <v>0.99607000000000001</v>
      </c>
      <c r="O30" s="11">
        <f t="shared" si="0"/>
        <v>0.57325288383346484</v>
      </c>
      <c r="P30" s="9"/>
      <c r="Q30" s="13">
        <v>0.5</v>
      </c>
      <c r="R30" s="9"/>
      <c r="S30" s="13">
        <v>-0.09</v>
      </c>
      <c r="T30" s="9"/>
      <c r="U30" s="13">
        <v>1.23</v>
      </c>
      <c r="V30" s="9"/>
      <c r="W30" s="8">
        <v>18.3</v>
      </c>
      <c r="X30" s="8">
        <v>4.37</v>
      </c>
      <c r="Y30" s="20">
        <v>3.5</v>
      </c>
    </row>
    <row r="31" spans="1:25" x14ac:dyDescent="0.3">
      <c r="A31" s="6">
        <v>37408</v>
      </c>
      <c r="B31" s="14">
        <v>1866.02</v>
      </c>
      <c r="C31" s="10">
        <v>0.42</v>
      </c>
      <c r="D31" s="9"/>
      <c r="E31" s="8">
        <v>0.32</v>
      </c>
      <c r="F31" s="9"/>
      <c r="G31" s="10">
        <v>0.21</v>
      </c>
      <c r="H31" s="10">
        <v>7.0000000000000007E-2</v>
      </c>
      <c r="I31" s="10">
        <v>2.714</v>
      </c>
      <c r="J31" s="11">
        <v>23.94551724137931</v>
      </c>
      <c r="K31" s="12"/>
      <c r="L31" s="10">
        <v>179.6</v>
      </c>
      <c r="M31" s="10">
        <v>1.33</v>
      </c>
      <c r="N31" s="11">
        <v>0.99043000000000003</v>
      </c>
      <c r="O31" s="11">
        <f t="shared" si="0"/>
        <v>-0.56944963298769002</v>
      </c>
      <c r="P31" s="9"/>
      <c r="Q31" s="13">
        <v>-0.26</v>
      </c>
      <c r="R31" s="9"/>
      <c r="S31" s="13">
        <v>-1.4</v>
      </c>
      <c r="T31" s="9"/>
      <c r="U31" s="13">
        <v>1.07</v>
      </c>
      <c r="V31" s="9"/>
      <c r="W31" s="10">
        <v>17.18</v>
      </c>
      <c r="X31" s="10">
        <v>4.57</v>
      </c>
      <c r="Y31" s="20">
        <v>3.5</v>
      </c>
    </row>
    <row r="32" spans="1:25" x14ac:dyDescent="0.3">
      <c r="A32" s="6">
        <v>37438</v>
      </c>
      <c r="B32" s="7">
        <v>1888.23</v>
      </c>
      <c r="C32" s="8">
        <v>1.19</v>
      </c>
      <c r="D32" s="9"/>
      <c r="E32" s="10">
        <v>0.55000000000000004</v>
      </c>
      <c r="F32" s="9"/>
      <c r="G32" s="8">
        <v>0.61</v>
      </c>
      <c r="H32" s="8">
        <v>0.73</v>
      </c>
      <c r="I32" s="8">
        <v>2.9346000000000001</v>
      </c>
      <c r="J32" s="11">
        <v>25.740322580645159</v>
      </c>
      <c r="K32" s="12"/>
      <c r="L32" s="8">
        <v>180</v>
      </c>
      <c r="M32" s="8">
        <v>1.54</v>
      </c>
      <c r="N32" s="11">
        <v>0.99526999999999999</v>
      </c>
      <c r="O32" s="11">
        <f t="shared" si="0"/>
        <v>0.48630019994573886</v>
      </c>
      <c r="P32" s="9"/>
      <c r="Q32" s="13">
        <v>2.87</v>
      </c>
      <c r="R32" s="9"/>
      <c r="S32" s="13">
        <v>-6.42</v>
      </c>
      <c r="T32" s="9"/>
      <c r="U32" s="13">
        <v>7.97</v>
      </c>
      <c r="V32" s="9"/>
      <c r="W32" s="8">
        <v>20.13</v>
      </c>
      <c r="X32" s="8">
        <v>5.08</v>
      </c>
      <c r="Y32" s="20">
        <v>3.5</v>
      </c>
    </row>
    <row r="33" spans="1:25" x14ac:dyDescent="0.3">
      <c r="A33" s="6">
        <v>37469</v>
      </c>
      <c r="B33" s="14">
        <v>1900.5</v>
      </c>
      <c r="C33" s="10">
        <v>0.65</v>
      </c>
      <c r="D33" s="9"/>
      <c r="E33" s="8">
        <v>-0.15</v>
      </c>
      <c r="F33" s="9"/>
      <c r="G33" s="10">
        <v>1.26</v>
      </c>
      <c r="H33" s="10">
        <v>0.36</v>
      </c>
      <c r="I33" s="10">
        <v>3.1101000000000001</v>
      </c>
      <c r="J33" s="11">
        <v>26.505483870967741</v>
      </c>
      <c r="K33" s="12"/>
      <c r="L33" s="10">
        <v>180.5</v>
      </c>
      <c r="M33" s="10">
        <v>1.44</v>
      </c>
      <c r="N33" s="11">
        <v>1.02684</v>
      </c>
      <c r="O33" s="11">
        <f t="shared" si="0"/>
        <v>3.0744809317907356</v>
      </c>
      <c r="P33" s="9"/>
      <c r="Q33" s="13">
        <v>-1.39</v>
      </c>
      <c r="R33" s="9"/>
      <c r="S33" s="13">
        <v>-4.4800000000000004</v>
      </c>
      <c r="T33" s="9"/>
      <c r="U33" s="13">
        <v>3.98</v>
      </c>
      <c r="V33" s="9"/>
      <c r="W33" s="10">
        <v>18.72</v>
      </c>
      <c r="X33" s="10">
        <v>5.4</v>
      </c>
      <c r="Y33" s="20">
        <v>3.5</v>
      </c>
    </row>
    <row r="34" spans="1:25" x14ac:dyDescent="0.3">
      <c r="A34" s="6">
        <v>37500</v>
      </c>
      <c r="B34" s="7">
        <v>1914.18</v>
      </c>
      <c r="C34" s="8">
        <v>0.72</v>
      </c>
      <c r="D34" s="9"/>
      <c r="E34" s="10">
        <v>0.34</v>
      </c>
      <c r="F34" s="9"/>
      <c r="G34" s="8">
        <v>1.49</v>
      </c>
      <c r="H34" s="8">
        <v>0.48</v>
      </c>
      <c r="I34" s="8">
        <v>3.3420000000000001</v>
      </c>
      <c r="J34" s="11">
        <v>28.222666666666669</v>
      </c>
      <c r="K34" s="12"/>
      <c r="L34" s="8">
        <v>180.8</v>
      </c>
      <c r="M34" s="8">
        <v>1.38</v>
      </c>
      <c r="N34" s="11">
        <v>1.0750299999999999</v>
      </c>
      <c r="O34" s="11">
        <f t="shared" si="0"/>
        <v>4.4826656000297627</v>
      </c>
      <c r="P34" s="9"/>
      <c r="Q34" s="13">
        <v>-0.01</v>
      </c>
      <c r="R34" s="9"/>
      <c r="S34" s="13">
        <v>4.32</v>
      </c>
      <c r="T34" s="9"/>
      <c r="U34" s="13">
        <v>-1.41</v>
      </c>
      <c r="V34" s="9"/>
      <c r="W34" s="8">
        <v>17.88</v>
      </c>
      <c r="X34" s="8">
        <v>6.28</v>
      </c>
      <c r="Y34" s="20">
        <v>3.5</v>
      </c>
    </row>
    <row r="35" spans="1:25" x14ac:dyDescent="0.3">
      <c r="A35" s="6">
        <v>37530</v>
      </c>
      <c r="B35" s="14">
        <v>1939.26</v>
      </c>
      <c r="C35" s="10">
        <v>1.31</v>
      </c>
      <c r="D35" s="9"/>
      <c r="E35" s="8">
        <v>1.2</v>
      </c>
      <c r="F35" s="9"/>
      <c r="G35" s="10">
        <v>2.1800000000000002</v>
      </c>
      <c r="H35" s="10">
        <v>0.38</v>
      </c>
      <c r="I35" s="10">
        <v>3.8058999999999998</v>
      </c>
      <c r="J35" s="11">
        <v>27.881612903225811</v>
      </c>
      <c r="K35" s="12"/>
      <c r="L35" s="10">
        <v>181.2</v>
      </c>
      <c r="M35" s="10">
        <v>1.65</v>
      </c>
      <c r="N35" s="11">
        <v>1.1281300000000001</v>
      </c>
      <c r="O35" s="11">
        <f t="shared" si="0"/>
        <v>4.7069043461303348</v>
      </c>
      <c r="P35" s="9"/>
      <c r="Q35" s="13">
        <v>1.78</v>
      </c>
      <c r="R35" s="9"/>
      <c r="S35" s="13">
        <v>11</v>
      </c>
      <c r="T35" s="9"/>
      <c r="U35" s="13">
        <v>0.54</v>
      </c>
      <c r="V35" s="9"/>
      <c r="W35" s="10">
        <v>21.7</v>
      </c>
      <c r="X35" s="10">
        <v>8.94</v>
      </c>
      <c r="Y35" s="20">
        <v>3.5</v>
      </c>
    </row>
    <row r="36" spans="1:25" x14ac:dyDescent="0.3">
      <c r="A36" s="6">
        <v>37561</v>
      </c>
      <c r="B36" s="7">
        <v>1997.83</v>
      </c>
      <c r="C36" s="8">
        <v>3.02</v>
      </c>
      <c r="D36" s="9"/>
      <c r="E36" s="10">
        <v>4.68</v>
      </c>
      <c r="F36" s="9"/>
      <c r="G36" s="8">
        <v>3.58</v>
      </c>
      <c r="H36" s="8">
        <v>1.26</v>
      </c>
      <c r="I36" s="8">
        <v>3.5764</v>
      </c>
      <c r="J36" s="11">
        <v>24.323</v>
      </c>
      <c r="K36" s="12"/>
      <c r="L36" s="8">
        <v>181.5</v>
      </c>
      <c r="M36" s="8">
        <v>1.54</v>
      </c>
      <c r="N36" s="11">
        <v>1.1653500000000001</v>
      </c>
      <c r="O36" s="11">
        <f t="shared" si="0"/>
        <v>3.1938902475651112</v>
      </c>
      <c r="P36" s="9"/>
      <c r="Q36" s="13">
        <v>10.53</v>
      </c>
      <c r="R36" s="9"/>
      <c r="S36" s="13">
        <v>26.35</v>
      </c>
      <c r="T36" s="9"/>
      <c r="U36" s="13">
        <v>14.63</v>
      </c>
      <c r="V36" s="9"/>
      <c r="W36" s="8">
        <v>20.13</v>
      </c>
      <c r="X36" s="8">
        <v>12.47</v>
      </c>
      <c r="Y36" s="20">
        <v>3.5</v>
      </c>
    </row>
    <row r="37" spans="1:25" x14ac:dyDescent="0.3">
      <c r="A37" s="6">
        <v>37591</v>
      </c>
      <c r="B37" s="14">
        <v>2039.78</v>
      </c>
      <c r="C37" s="10">
        <v>2.1</v>
      </c>
      <c r="D37" s="11">
        <v>100</v>
      </c>
      <c r="E37" s="8">
        <v>1.33</v>
      </c>
      <c r="F37" s="11">
        <v>100</v>
      </c>
      <c r="G37" s="10">
        <v>3.28</v>
      </c>
      <c r="H37" s="10">
        <v>1.1399999999999999</v>
      </c>
      <c r="I37" s="10">
        <v>3.6259000000000001</v>
      </c>
      <c r="J37" s="11">
        <v>27.84035714285714</v>
      </c>
      <c r="K37" s="12"/>
      <c r="L37" s="10">
        <v>181.8</v>
      </c>
      <c r="M37" s="10">
        <v>1.74</v>
      </c>
      <c r="N37" s="11">
        <v>1.20783</v>
      </c>
      <c r="O37" s="11">
        <f t="shared" si="0"/>
        <v>3.5170512406547156</v>
      </c>
      <c r="P37" s="11">
        <v>100</v>
      </c>
      <c r="Q37" s="13">
        <v>1.28</v>
      </c>
      <c r="R37" s="11">
        <v>100</v>
      </c>
      <c r="S37" s="13">
        <v>2.96</v>
      </c>
      <c r="T37" s="11">
        <v>100</v>
      </c>
      <c r="U37" s="13">
        <v>8.01</v>
      </c>
      <c r="V37" s="11">
        <v>100</v>
      </c>
      <c r="W37" s="10">
        <v>23</v>
      </c>
      <c r="X37" s="10">
        <v>13.24</v>
      </c>
      <c r="Y37" s="20">
        <v>3.5</v>
      </c>
    </row>
    <row r="38" spans="1:25" x14ac:dyDescent="0.3">
      <c r="A38" s="6">
        <v>37622</v>
      </c>
      <c r="B38" s="7">
        <v>2085.6799999999998</v>
      </c>
      <c r="C38" s="8">
        <v>2.25</v>
      </c>
      <c r="D38" s="11">
        <f>D37+D37*(C38/100)</f>
        <v>102.25</v>
      </c>
      <c r="E38" s="10">
        <v>4.2</v>
      </c>
      <c r="F38" s="11">
        <f>F37+F37*(E38/100)</f>
        <v>104.2</v>
      </c>
      <c r="G38" s="8">
        <v>1.73</v>
      </c>
      <c r="H38" s="8">
        <v>1.53</v>
      </c>
      <c r="I38" s="8">
        <v>3.4384000000000001</v>
      </c>
      <c r="J38" s="11">
        <v>31.146551724137929</v>
      </c>
      <c r="K38" s="8">
        <v>70.540000000000006</v>
      </c>
      <c r="L38" s="8">
        <v>182.6</v>
      </c>
      <c r="M38" s="8">
        <v>1.97</v>
      </c>
      <c r="N38" s="11">
        <v>1.3126100000000001</v>
      </c>
      <c r="O38" s="11">
        <f t="shared" si="0"/>
        <v>7.9825690799247369</v>
      </c>
      <c r="P38" s="11">
        <f>P37+P37*(O38/100)</f>
        <v>107.98256907992473</v>
      </c>
      <c r="Q38" s="13">
        <v>8.82</v>
      </c>
      <c r="R38" s="11">
        <f>R37+R37*(Q38/100)</f>
        <v>108.82</v>
      </c>
      <c r="S38" s="13">
        <v>5.96</v>
      </c>
      <c r="T38" s="11">
        <f>T37+T37*(S38/100)</f>
        <v>105.96</v>
      </c>
      <c r="U38" s="13">
        <v>11.88</v>
      </c>
      <c r="V38" s="11">
        <f>V37+V37*(U38/100)</f>
        <v>111.88</v>
      </c>
      <c r="W38" s="8">
        <v>26.38</v>
      </c>
      <c r="X38" s="8">
        <v>11.72</v>
      </c>
      <c r="Y38" s="22">
        <v>4</v>
      </c>
    </row>
    <row r="39" spans="1:25" x14ac:dyDescent="0.3">
      <c r="A39" s="6">
        <v>37653</v>
      </c>
      <c r="B39" s="14">
        <v>2118.4299999999998</v>
      </c>
      <c r="C39" s="10">
        <v>1.57</v>
      </c>
      <c r="D39" s="11">
        <f>D38+D38*(C39/100)</f>
        <v>103.85532499999999</v>
      </c>
      <c r="E39" s="8">
        <v>3</v>
      </c>
      <c r="F39" s="11">
        <f t="shared" ref="F39:F102" si="1">F38+F38*(E39/100)</f>
        <v>107.32600000000001</v>
      </c>
      <c r="G39" s="10">
        <v>0.79</v>
      </c>
      <c r="H39" s="10">
        <v>1.54</v>
      </c>
      <c r="I39" s="10">
        <v>3.5908000000000002</v>
      </c>
      <c r="J39" s="11">
        <v>32.426785714285707</v>
      </c>
      <c r="K39" s="10">
        <v>71.72</v>
      </c>
      <c r="L39" s="10">
        <v>183.6</v>
      </c>
      <c r="M39" s="10">
        <v>1.83</v>
      </c>
      <c r="N39" s="11">
        <v>1.3168</v>
      </c>
      <c r="O39" s="11">
        <f t="shared" si="0"/>
        <v>0.31819562575941041</v>
      </c>
      <c r="P39" s="11">
        <f t="shared" ref="P39:P102" si="2">P38+P38*(O39/100)</f>
        <v>108.32616489131968</v>
      </c>
      <c r="Q39" s="13">
        <v>3.29</v>
      </c>
      <c r="R39" s="11">
        <f t="shared" ref="R39:R102" si="3">R38+R38*(Q39/100)</f>
        <v>112.400178</v>
      </c>
      <c r="S39" s="13">
        <v>11.82</v>
      </c>
      <c r="T39" s="11">
        <f>T38+T38*(S39/100)</f>
        <v>118.484472</v>
      </c>
      <c r="U39" s="13">
        <v>1.05</v>
      </c>
      <c r="V39" s="11">
        <f t="shared" ref="V39:V102" si="4">V38+V38*(U39/100)</f>
        <v>113.05474</v>
      </c>
      <c r="W39" s="10">
        <v>24.31</v>
      </c>
      <c r="X39" s="10">
        <v>11.07</v>
      </c>
      <c r="Y39" s="22">
        <v>4</v>
      </c>
    </row>
    <row r="40" spans="1:25" x14ac:dyDescent="0.3">
      <c r="A40" s="6">
        <v>37681</v>
      </c>
      <c r="B40" s="7">
        <v>2144.4899999999998</v>
      </c>
      <c r="C40" s="8">
        <v>1.23</v>
      </c>
      <c r="D40" s="11">
        <f t="shared" ref="D40:D102" si="5">D39+D39*(C40/100)</f>
        <v>105.1327454975</v>
      </c>
      <c r="E40" s="10">
        <v>0.7</v>
      </c>
      <c r="F40" s="11">
        <f t="shared" si="1"/>
        <v>108.07728200000001</v>
      </c>
      <c r="G40" s="8">
        <v>1.44</v>
      </c>
      <c r="H40" s="8">
        <v>1.1000000000000001</v>
      </c>
      <c r="I40" s="8">
        <v>3.4468999999999999</v>
      </c>
      <c r="J40" s="11">
        <v>31.24064516129032</v>
      </c>
      <c r="K40" s="15">
        <v>71.36</v>
      </c>
      <c r="L40" s="8">
        <v>183.9</v>
      </c>
      <c r="M40" s="8">
        <v>1.78</v>
      </c>
      <c r="N40" s="11">
        <v>1.30043</v>
      </c>
      <c r="O40" s="11">
        <f t="shared" si="0"/>
        <v>-1.2588143921625921</v>
      </c>
      <c r="P40" s="11">
        <f t="shared" si="2"/>
        <v>106.96253953718997</v>
      </c>
      <c r="Q40" s="13">
        <v>-0.31</v>
      </c>
      <c r="R40" s="11">
        <f t="shared" si="3"/>
        <v>112.0517374482</v>
      </c>
      <c r="S40" s="13">
        <v>2.57</v>
      </c>
      <c r="T40" s="11">
        <f t="shared" ref="T40:T103" si="6">T39+T39*(S40/100)</f>
        <v>121.52952293039999</v>
      </c>
      <c r="U40" s="13">
        <v>0.04</v>
      </c>
      <c r="V40" s="11">
        <f t="shared" si="4"/>
        <v>113.099961896</v>
      </c>
      <c r="W40" s="8">
        <v>23.58</v>
      </c>
      <c r="X40" s="8">
        <v>9.9</v>
      </c>
      <c r="Y40" s="22">
        <v>4</v>
      </c>
    </row>
    <row r="41" spans="1:25" x14ac:dyDescent="0.3">
      <c r="A41" s="6">
        <v>37712</v>
      </c>
      <c r="B41" s="14">
        <v>2165.29</v>
      </c>
      <c r="C41" s="10">
        <v>0.97</v>
      </c>
      <c r="D41" s="11">
        <f t="shared" si="5"/>
        <v>106.15253312882575</v>
      </c>
      <c r="E41" s="8">
        <v>0.5</v>
      </c>
      <c r="F41" s="11">
        <f t="shared" si="1"/>
        <v>108.61766841000001</v>
      </c>
      <c r="G41" s="10">
        <v>1.1100000000000001</v>
      </c>
      <c r="H41" s="10">
        <v>0.57999999999999996</v>
      </c>
      <c r="I41" s="10">
        <v>3.1187</v>
      </c>
      <c r="J41" s="11">
        <v>25.423333333333339</v>
      </c>
      <c r="K41" s="10">
        <v>70.87</v>
      </c>
      <c r="L41" s="10">
        <v>183.2</v>
      </c>
      <c r="M41" s="10">
        <v>1.87</v>
      </c>
      <c r="N41" s="11">
        <v>1.3138700000000001</v>
      </c>
      <c r="O41" s="11">
        <f t="shared" si="0"/>
        <v>1.0229322535715191</v>
      </c>
      <c r="P41" s="11">
        <f t="shared" si="2"/>
        <v>108.05669385335507</v>
      </c>
      <c r="Q41" s="13">
        <v>-0.79</v>
      </c>
      <c r="R41" s="11">
        <f t="shared" si="3"/>
        <v>111.16652872235922</v>
      </c>
      <c r="S41" s="13">
        <v>-2.0499999999999998</v>
      </c>
      <c r="T41" s="11">
        <f t="shared" si="6"/>
        <v>119.03816771032679</v>
      </c>
      <c r="U41" s="13">
        <v>-0.17</v>
      </c>
      <c r="V41" s="11">
        <f t="shared" si="4"/>
        <v>112.9076919607768</v>
      </c>
      <c r="W41" s="10">
        <v>24.9</v>
      </c>
      <c r="X41" s="10">
        <v>9.18</v>
      </c>
      <c r="Y41" s="22">
        <v>4</v>
      </c>
    </row>
    <row r="42" spans="1:25" x14ac:dyDescent="0.3">
      <c r="A42" s="6">
        <v>37742</v>
      </c>
      <c r="B42" s="7">
        <v>2178.5</v>
      </c>
      <c r="C42" s="8">
        <v>0.61</v>
      </c>
      <c r="D42" s="11">
        <f t="shared" si="5"/>
        <v>106.80006358091158</v>
      </c>
      <c r="E42" s="10">
        <v>-0.32</v>
      </c>
      <c r="F42" s="11">
        <f t="shared" si="1"/>
        <v>108.27009187108801</v>
      </c>
      <c r="G42" s="8">
        <v>0.95</v>
      </c>
      <c r="H42" s="8">
        <v>0</v>
      </c>
      <c r="I42" s="8">
        <v>2.9557000000000002</v>
      </c>
      <c r="J42" s="11">
        <v>25.56354838709678</v>
      </c>
      <c r="K42" s="8">
        <v>70.16</v>
      </c>
      <c r="L42" s="8">
        <v>182.9</v>
      </c>
      <c r="M42" s="8">
        <v>1.97</v>
      </c>
      <c r="N42" s="11">
        <v>1.2946200000000001</v>
      </c>
      <c r="O42" s="11">
        <f t="shared" si="0"/>
        <v>-1.4869228036026008</v>
      </c>
      <c r="P42" s="11">
        <f t="shared" si="2"/>
        <v>106.44997423163049</v>
      </c>
      <c r="Q42" s="13">
        <v>-3.38</v>
      </c>
      <c r="R42" s="11">
        <f t="shared" si="3"/>
        <v>107.40910005154348</v>
      </c>
      <c r="S42" s="13">
        <v>-3.88</v>
      </c>
      <c r="T42" s="11">
        <f t="shared" si="6"/>
        <v>114.41948680316611</v>
      </c>
      <c r="U42" s="13">
        <v>-3.89</v>
      </c>
      <c r="V42" s="11">
        <f t="shared" si="4"/>
        <v>108.51558274350259</v>
      </c>
      <c r="W42" s="8">
        <v>26.38</v>
      </c>
      <c r="X42" s="8">
        <v>8.23</v>
      </c>
      <c r="Y42" s="22">
        <v>4</v>
      </c>
    </row>
    <row r="43" spans="1:25" x14ac:dyDescent="0.3">
      <c r="A43" s="6">
        <v>37773</v>
      </c>
      <c r="B43" s="14">
        <v>2175.23</v>
      </c>
      <c r="C43" s="10">
        <v>-0.15</v>
      </c>
      <c r="D43" s="11">
        <f t="shared" si="5"/>
        <v>106.63986348554022</v>
      </c>
      <c r="E43" s="8">
        <v>-1.45</v>
      </c>
      <c r="F43" s="11">
        <f t="shared" si="1"/>
        <v>106.70017553895724</v>
      </c>
      <c r="G43" s="10">
        <v>0.38</v>
      </c>
      <c r="H43" s="10">
        <v>-0.04</v>
      </c>
      <c r="I43" s="10">
        <v>2.8832</v>
      </c>
      <c r="J43" s="11">
        <v>27.465666666666671</v>
      </c>
      <c r="K43" s="10">
        <v>70.31</v>
      </c>
      <c r="L43" s="10">
        <v>183.1</v>
      </c>
      <c r="M43" s="10">
        <v>1.86</v>
      </c>
      <c r="N43" s="11">
        <v>1.2818000000000001</v>
      </c>
      <c r="O43" s="11">
        <f t="shared" si="0"/>
        <v>-1.0001560305819981</v>
      </c>
      <c r="P43" s="11">
        <f t="shared" si="2"/>
        <v>105.38530839479985</v>
      </c>
      <c r="Q43" s="13">
        <v>-4.9400000000000004</v>
      </c>
      <c r="R43" s="11">
        <f t="shared" si="3"/>
        <v>102.10309050899723</v>
      </c>
      <c r="S43" s="13">
        <v>-12.14</v>
      </c>
      <c r="T43" s="11">
        <f t="shared" si="6"/>
        <v>100.52896110526174</v>
      </c>
      <c r="U43" s="13">
        <v>-2.12</v>
      </c>
      <c r="V43" s="11">
        <f t="shared" si="4"/>
        <v>106.21505238934034</v>
      </c>
      <c r="W43" s="10">
        <v>24.75</v>
      </c>
      <c r="X43" s="10">
        <v>7.08</v>
      </c>
      <c r="Y43" s="22">
        <v>4</v>
      </c>
    </row>
    <row r="44" spans="1:25" x14ac:dyDescent="0.3">
      <c r="A44" s="6">
        <v>37803</v>
      </c>
      <c r="B44" s="7">
        <v>2179.58</v>
      </c>
      <c r="C44" s="8">
        <v>0.2</v>
      </c>
      <c r="D44" s="11">
        <f t="shared" si="5"/>
        <v>106.8531432125113</v>
      </c>
      <c r="E44" s="10">
        <v>-0.68</v>
      </c>
      <c r="F44" s="11">
        <f t="shared" si="1"/>
        <v>105.97461434529232</v>
      </c>
      <c r="G44" s="8">
        <v>-0.06</v>
      </c>
      <c r="H44" s="8">
        <v>0.05</v>
      </c>
      <c r="I44" s="8">
        <v>2.8797999999999999</v>
      </c>
      <c r="J44" s="11">
        <v>28.363870967741931</v>
      </c>
      <c r="K44" s="8">
        <v>69.44</v>
      </c>
      <c r="L44" s="8">
        <v>183.7</v>
      </c>
      <c r="M44" s="8">
        <v>2.08</v>
      </c>
      <c r="N44" s="11">
        <v>1.25027</v>
      </c>
      <c r="O44" s="11">
        <f t="shared" si="0"/>
        <v>-2.5218552792596842</v>
      </c>
      <c r="P44" s="11">
        <f t="shared" si="2"/>
        <v>102.7276434314815</v>
      </c>
      <c r="Q44" s="13">
        <v>-2.74</v>
      </c>
      <c r="R44" s="11">
        <f t="shared" si="3"/>
        <v>99.305465829050704</v>
      </c>
      <c r="S44" s="13">
        <v>-10.28</v>
      </c>
      <c r="T44" s="11">
        <f t="shared" si="6"/>
        <v>90.194583903640833</v>
      </c>
      <c r="U44" s="13">
        <v>-0.83</v>
      </c>
      <c r="V44" s="11">
        <f t="shared" si="4"/>
        <v>105.33346745450882</v>
      </c>
      <c r="W44" s="8">
        <v>28.02</v>
      </c>
      <c r="X44" s="8">
        <v>6.39</v>
      </c>
      <c r="Y44" s="22">
        <v>4</v>
      </c>
    </row>
    <row r="45" spans="1:25" x14ac:dyDescent="0.3">
      <c r="A45" s="6">
        <v>37834</v>
      </c>
      <c r="B45" s="14">
        <v>2186.9899999999998</v>
      </c>
      <c r="C45" s="10">
        <v>0.34</v>
      </c>
      <c r="D45" s="11">
        <f t="shared" si="5"/>
        <v>107.21644389943384</v>
      </c>
      <c r="E45" s="8">
        <v>0.12</v>
      </c>
      <c r="F45" s="11">
        <f t="shared" si="1"/>
        <v>106.10178388250668</v>
      </c>
      <c r="G45" s="10">
        <v>7.0000000000000007E-2</v>
      </c>
      <c r="H45" s="10">
        <v>0.22</v>
      </c>
      <c r="I45" s="10">
        <v>3.0024999999999999</v>
      </c>
      <c r="J45" s="11">
        <v>29.61967741935484</v>
      </c>
      <c r="K45" s="10">
        <v>69.989999999999995</v>
      </c>
      <c r="L45" s="10">
        <v>184.5</v>
      </c>
      <c r="M45" s="10">
        <v>1.77</v>
      </c>
      <c r="N45" s="11">
        <v>1.2452700000000001</v>
      </c>
      <c r="O45" s="11">
        <f t="shared" si="0"/>
        <v>-0.40151934921743015</v>
      </c>
      <c r="P45" s="11">
        <f t="shared" si="2"/>
        <v>102.31517206610901</v>
      </c>
      <c r="Q45" s="13">
        <v>0.37</v>
      </c>
      <c r="R45" s="11">
        <f t="shared" si="3"/>
        <v>99.672896052618185</v>
      </c>
      <c r="S45" s="13">
        <v>-0.52</v>
      </c>
      <c r="T45" s="11">
        <f t="shared" si="6"/>
        <v>89.725572067341901</v>
      </c>
      <c r="U45" s="13">
        <v>-0.69</v>
      </c>
      <c r="V45" s="11">
        <f t="shared" si="4"/>
        <v>104.60666652907271</v>
      </c>
      <c r="W45" s="10">
        <v>23.43</v>
      </c>
      <c r="X45" s="10">
        <v>6.32</v>
      </c>
      <c r="Y45" s="22">
        <v>4</v>
      </c>
    </row>
    <row r="46" spans="1:25" x14ac:dyDescent="0.3">
      <c r="A46" s="6">
        <v>37865</v>
      </c>
      <c r="B46" s="7">
        <v>2204.0500000000002</v>
      </c>
      <c r="C46" s="8">
        <v>0.78</v>
      </c>
      <c r="D46" s="11">
        <f t="shared" si="5"/>
        <v>108.05273216184942</v>
      </c>
      <c r="E46" s="10">
        <v>0.68</v>
      </c>
      <c r="F46" s="11">
        <f t="shared" si="1"/>
        <v>106.82327601290773</v>
      </c>
      <c r="G46" s="8">
        <v>0.67</v>
      </c>
      <c r="H46" s="8">
        <v>0.31</v>
      </c>
      <c r="I46" s="8">
        <v>2.9228000000000001</v>
      </c>
      <c r="J46" s="11">
        <v>27.229333333333329</v>
      </c>
      <c r="K46" s="8">
        <v>71.5</v>
      </c>
      <c r="L46" s="8">
        <v>185.1</v>
      </c>
      <c r="M46" s="8">
        <v>1.68</v>
      </c>
      <c r="N46" s="11">
        <v>1.2547299999999999</v>
      </c>
      <c r="O46" s="11">
        <f t="shared" si="0"/>
        <v>0.75394706430864034</v>
      </c>
      <c r="P46" s="11">
        <f t="shared" si="2"/>
        <v>103.08657430224378</v>
      </c>
      <c r="Q46" s="13">
        <v>1.61</v>
      </c>
      <c r="R46" s="11">
        <f t="shared" si="3"/>
        <v>101.27762967906534</v>
      </c>
      <c r="S46" s="13">
        <v>2.71</v>
      </c>
      <c r="T46" s="11">
        <f t="shared" si="6"/>
        <v>92.157135070366863</v>
      </c>
      <c r="U46" s="13">
        <v>-0.47</v>
      </c>
      <c r="V46" s="11">
        <f t="shared" si="4"/>
        <v>104.11501519638607</v>
      </c>
      <c r="W46" s="8">
        <v>22.13</v>
      </c>
      <c r="X46" s="8">
        <v>6.56</v>
      </c>
      <c r="Y46" s="22">
        <v>4</v>
      </c>
    </row>
    <row r="47" spans="1:25" x14ac:dyDescent="0.3">
      <c r="A47" s="6">
        <v>37895</v>
      </c>
      <c r="B47" s="14">
        <v>2210.44</v>
      </c>
      <c r="C47" s="10">
        <v>0.28999999999999998</v>
      </c>
      <c r="D47" s="11">
        <f t="shared" si="5"/>
        <v>108.36608508511878</v>
      </c>
      <c r="E47" s="8">
        <v>-0.39</v>
      </c>
      <c r="F47" s="11">
        <f t="shared" si="1"/>
        <v>106.40666523645739</v>
      </c>
      <c r="G47" s="10">
        <v>0.54</v>
      </c>
      <c r="H47" s="10">
        <v>0.17</v>
      </c>
      <c r="I47" s="10">
        <v>2.8614999999999999</v>
      </c>
      <c r="J47" s="11">
        <v>29.586451612903229</v>
      </c>
      <c r="K47" s="10">
        <v>71.53</v>
      </c>
      <c r="L47" s="10">
        <v>184.9</v>
      </c>
      <c r="M47" s="10">
        <v>1.64</v>
      </c>
      <c r="N47" s="11">
        <v>1.25834</v>
      </c>
      <c r="O47" s="11">
        <f t="shared" si="0"/>
        <v>0.28688589729326835</v>
      </c>
      <c r="P47" s="11">
        <f t="shared" si="2"/>
        <v>103.38231514591966</v>
      </c>
      <c r="Q47" s="13">
        <v>-0.24</v>
      </c>
      <c r="R47" s="11">
        <f t="shared" si="3"/>
        <v>101.03456336783559</v>
      </c>
      <c r="S47" s="13">
        <v>-3.07</v>
      </c>
      <c r="T47" s="11">
        <f t="shared" si="6"/>
        <v>89.327911023706605</v>
      </c>
      <c r="U47" s="13">
        <v>-0.57999999999999996</v>
      </c>
      <c r="V47" s="11">
        <f t="shared" si="4"/>
        <v>103.51114810824703</v>
      </c>
      <c r="W47" s="10">
        <v>21.56</v>
      </c>
      <c r="X47" s="10">
        <v>6.15</v>
      </c>
      <c r="Y47" s="22">
        <v>4</v>
      </c>
    </row>
    <row r="48" spans="1:25" x14ac:dyDescent="0.3">
      <c r="A48" s="6">
        <v>37926</v>
      </c>
      <c r="B48" s="7">
        <v>2217.96</v>
      </c>
      <c r="C48" s="8">
        <v>0.34</v>
      </c>
      <c r="D48" s="11">
        <f t="shared" si="5"/>
        <v>108.73452977440819</v>
      </c>
      <c r="E48" s="10">
        <v>0.15</v>
      </c>
      <c r="F48" s="11">
        <f t="shared" si="1"/>
        <v>106.56627523431207</v>
      </c>
      <c r="G48" s="8">
        <v>0.25</v>
      </c>
      <c r="H48" s="8">
        <v>0.43</v>
      </c>
      <c r="I48" s="8">
        <v>2.9138000000000002</v>
      </c>
      <c r="J48" s="11">
        <v>28.708333333333329</v>
      </c>
      <c r="K48" s="8">
        <v>71.61</v>
      </c>
      <c r="L48" s="8">
        <v>185</v>
      </c>
      <c r="M48" s="8">
        <v>1.34</v>
      </c>
      <c r="N48" s="11">
        <v>1.24854</v>
      </c>
      <c r="O48" s="11">
        <f t="shared" si="0"/>
        <v>-0.78491678280231558</v>
      </c>
      <c r="P48" s="11">
        <f t="shared" si="2"/>
        <v>102.57085000388976</v>
      </c>
      <c r="Q48" s="13">
        <v>-0.14000000000000001</v>
      </c>
      <c r="R48" s="11">
        <f t="shared" si="3"/>
        <v>100.89311497912063</v>
      </c>
      <c r="S48" s="13">
        <v>-3.38</v>
      </c>
      <c r="T48" s="11">
        <f t="shared" si="6"/>
        <v>86.308627631105324</v>
      </c>
      <c r="U48" s="13">
        <v>-0.44</v>
      </c>
      <c r="V48" s="11">
        <f t="shared" si="4"/>
        <v>103.05569905657075</v>
      </c>
      <c r="W48" s="8">
        <v>17.32</v>
      </c>
      <c r="X48" s="8">
        <v>5.8</v>
      </c>
      <c r="Y48" s="22">
        <v>4</v>
      </c>
    </row>
    <row r="49" spans="1:25" x14ac:dyDescent="0.3">
      <c r="A49" s="6">
        <v>37956</v>
      </c>
      <c r="B49" s="14">
        <v>2229.4899999999998</v>
      </c>
      <c r="C49" s="10">
        <v>0.52</v>
      </c>
      <c r="D49" s="11">
        <f t="shared" si="5"/>
        <v>109.2999493292351</v>
      </c>
      <c r="E49" s="8">
        <v>0.67</v>
      </c>
      <c r="F49" s="11">
        <f t="shared" si="1"/>
        <v>107.28026927838197</v>
      </c>
      <c r="G49" s="10">
        <v>0.51</v>
      </c>
      <c r="H49" s="10">
        <v>0.57999999999999996</v>
      </c>
      <c r="I49" s="10">
        <v>2.9253</v>
      </c>
      <c r="J49" s="11">
        <v>29.779</v>
      </c>
      <c r="K49" s="10">
        <v>71.41</v>
      </c>
      <c r="L49" s="10">
        <v>185.5</v>
      </c>
      <c r="M49" s="10">
        <v>1.37</v>
      </c>
      <c r="N49" s="11">
        <v>1.2406900000000001</v>
      </c>
      <c r="O49" s="11">
        <f t="shared" si="0"/>
        <v>-0.6327124422700201</v>
      </c>
      <c r="P49" s="11">
        <f t="shared" si="2"/>
        <v>101.92187147377302</v>
      </c>
      <c r="Q49" s="13">
        <v>0.34</v>
      </c>
      <c r="R49" s="11">
        <f t="shared" si="3"/>
        <v>101.23615157004963</v>
      </c>
      <c r="S49" s="13">
        <v>1.25</v>
      </c>
      <c r="T49" s="11">
        <f t="shared" si="6"/>
        <v>87.387485476494135</v>
      </c>
      <c r="U49" s="13">
        <v>-0.3</v>
      </c>
      <c r="V49" s="11">
        <f t="shared" si="4"/>
        <v>102.74653195940104</v>
      </c>
      <c r="W49" s="10">
        <v>17.739999999999998</v>
      </c>
      <c r="X49" s="10">
        <v>5.92</v>
      </c>
      <c r="Y49" s="22">
        <v>4</v>
      </c>
    </row>
    <row r="50" spans="1:25" x14ac:dyDescent="0.3">
      <c r="A50" s="6">
        <v>37987</v>
      </c>
      <c r="B50" s="7">
        <v>2246.4299999999998</v>
      </c>
      <c r="C50" s="8">
        <v>0.76</v>
      </c>
      <c r="D50" s="11">
        <f t="shared" si="5"/>
        <v>110.13062894413729</v>
      </c>
      <c r="E50" s="10">
        <v>0.79</v>
      </c>
      <c r="F50" s="11">
        <f t="shared" si="1"/>
        <v>108.12778340568119</v>
      </c>
      <c r="G50" s="8">
        <v>0.53</v>
      </c>
      <c r="H50" s="8">
        <v>0.97</v>
      </c>
      <c r="I50" s="8">
        <v>2.8517999999999999</v>
      </c>
      <c r="J50" s="11">
        <v>31.265999999999998</v>
      </c>
      <c r="K50" s="8">
        <v>72.760000000000005</v>
      </c>
      <c r="L50" s="8">
        <v>186.3</v>
      </c>
      <c r="M50" s="8">
        <v>1.27</v>
      </c>
      <c r="N50" s="11">
        <v>1.2302200000000001</v>
      </c>
      <c r="O50" s="11">
        <f t="shared" si="0"/>
        <v>-0.85106728877761528</v>
      </c>
      <c r="P50" s="11">
        <f t="shared" si="2"/>
        <v>101.05444776554978</v>
      </c>
      <c r="Q50" s="13">
        <v>0.49</v>
      </c>
      <c r="R50" s="11">
        <f t="shared" si="3"/>
        <v>101.73220871274287</v>
      </c>
      <c r="S50" s="13">
        <v>1.89</v>
      </c>
      <c r="T50" s="11">
        <f t="shared" si="6"/>
        <v>89.039108951999879</v>
      </c>
      <c r="U50" s="13">
        <v>-0.11</v>
      </c>
      <c r="V50" s="11">
        <f t="shared" si="4"/>
        <v>102.63351077424569</v>
      </c>
      <c r="W50" s="8">
        <v>16.350000000000001</v>
      </c>
      <c r="X50" s="8">
        <v>6.01</v>
      </c>
      <c r="Y50" s="20">
        <v>5.5</v>
      </c>
    </row>
    <row r="51" spans="1:25" x14ac:dyDescent="0.3">
      <c r="A51" s="6">
        <v>38018</v>
      </c>
      <c r="B51" s="14">
        <v>2260.13</v>
      </c>
      <c r="C51" s="10">
        <v>0.61</v>
      </c>
      <c r="D51" s="11">
        <f t="shared" si="5"/>
        <v>110.80242578069652</v>
      </c>
      <c r="E51" s="8">
        <v>0.52</v>
      </c>
      <c r="F51" s="11">
        <f t="shared" si="1"/>
        <v>108.69004787939073</v>
      </c>
      <c r="G51" s="10">
        <v>0.06</v>
      </c>
      <c r="H51" s="10">
        <v>1.64</v>
      </c>
      <c r="I51" s="10">
        <v>2.9302999999999999</v>
      </c>
      <c r="J51" s="11">
        <v>30.648620689655171</v>
      </c>
      <c r="K51" s="10">
        <v>73.47</v>
      </c>
      <c r="L51" s="10">
        <v>186.7</v>
      </c>
      <c r="M51" s="10">
        <v>1.08</v>
      </c>
      <c r="N51" s="11">
        <v>1.2297499999999999</v>
      </c>
      <c r="O51" s="11">
        <f t="shared" si="0"/>
        <v>-3.8219150233803012E-2</v>
      </c>
      <c r="P51" s="11">
        <f t="shared" si="2"/>
        <v>101.01582561434033</v>
      </c>
      <c r="Q51" s="13">
        <v>0.19</v>
      </c>
      <c r="R51" s="11">
        <f t="shared" si="3"/>
        <v>101.92549990929709</v>
      </c>
      <c r="S51" s="13">
        <v>-2.54</v>
      </c>
      <c r="T51" s="11">
        <f t="shared" si="6"/>
        <v>86.777515584619081</v>
      </c>
      <c r="U51" s="13">
        <v>-0.12</v>
      </c>
      <c r="V51" s="11">
        <f t="shared" si="4"/>
        <v>102.5103505613166</v>
      </c>
      <c r="W51" s="10">
        <v>13.76</v>
      </c>
      <c r="X51" s="10">
        <v>5.74</v>
      </c>
      <c r="Y51" s="20">
        <v>5.5</v>
      </c>
    </row>
    <row r="52" spans="1:25" x14ac:dyDescent="0.3">
      <c r="A52" s="6">
        <v>38047</v>
      </c>
      <c r="B52" s="7">
        <v>2270.75</v>
      </c>
      <c r="C52" s="8">
        <v>0.47</v>
      </c>
      <c r="D52" s="11">
        <f t="shared" si="5"/>
        <v>111.32319718186579</v>
      </c>
      <c r="E52" s="10">
        <v>-0.08</v>
      </c>
      <c r="F52" s="11">
        <f t="shared" si="1"/>
        <v>108.60309584108722</v>
      </c>
      <c r="G52" s="8">
        <v>0.69</v>
      </c>
      <c r="H52" s="8">
        <v>0.68</v>
      </c>
      <c r="I52" s="8">
        <v>2.9055</v>
      </c>
      <c r="J52" s="11">
        <v>33.663225806451607</v>
      </c>
      <c r="K52" s="8">
        <v>74.28</v>
      </c>
      <c r="L52" s="8">
        <v>187.1</v>
      </c>
      <c r="M52" s="8">
        <v>1.38</v>
      </c>
      <c r="N52" s="11">
        <v>1.2354700000000001</v>
      </c>
      <c r="O52" s="11">
        <f t="shared" si="0"/>
        <v>0.46298169927235538</v>
      </c>
      <c r="P52" s="11">
        <f t="shared" si="2"/>
        <v>101.4835104003036</v>
      </c>
      <c r="Q52" s="13">
        <v>-1.41</v>
      </c>
      <c r="R52" s="11">
        <f t="shared" si="3"/>
        <v>100.48835036057599</v>
      </c>
      <c r="S52" s="13">
        <v>-12.87</v>
      </c>
      <c r="T52" s="11">
        <f t="shared" si="6"/>
        <v>75.609249328878605</v>
      </c>
      <c r="U52" s="13">
        <v>0.2</v>
      </c>
      <c r="V52" s="11">
        <f t="shared" si="4"/>
        <v>102.71537126243923</v>
      </c>
      <c r="W52" s="8">
        <v>17.88</v>
      </c>
      <c r="X52" s="8">
        <v>5.54</v>
      </c>
      <c r="Y52" s="20">
        <v>5.5</v>
      </c>
    </row>
    <row r="53" spans="1:25" x14ac:dyDescent="0.3">
      <c r="A53" s="6">
        <v>38078</v>
      </c>
      <c r="B53" s="14">
        <v>2279.15</v>
      </c>
      <c r="C53" s="10">
        <v>0.37</v>
      </c>
      <c r="D53" s="11">
        <f t="shared" si="5"/>
        <v>111.73509301143869</v>
      </c>
      <c r="E53" s="8">
        <v>0.12</v>
      </c>
      <c r="F53" s="11">
        <f t="shared" si="1"/>
        <v>108.73341955609654</v>
      </c>
      <c r="G53" s="10">
        <v>0.51</v>
      </c>
      <c r="H53" s="10">
        <v>0.24</v>
      </c>
      <c r="I53" s="10">
        <v>2.9060000000000001</v>
      </c>
      <c r="J53" s="11">
        <v>33.346666666666657</v>
      </c>
      <c r="K53" s="10">
        <v>74.73</v>
      </c>
      <c r="L53" s="10">
        <v>187.4</v>
      </c>
      <c r="M53" s="10">
        <v>1.18</v>
      </c>
      <c r="N53" s="11">
        <v>1.27538</v>
      </c>
      <c r="O53" s="11">
        <f t="shared" si="0"/>
        <v>3.1292634352114579</v>
      </c>
      <c r="P53" s="11">
        <f t="shared" si="2"/>
        <v>104.65919678402932</v>
      </c>
      <c r="Q53" s="13">
        <v>-1.31</v>
      </c>
      <c r="R53" s="11">
        <f t="shared" si="3"/>
        <v>99.171952970852445</v>
      </c>
      <c r="S53" s="13">
        <v>-4.2</v>
      </c>
      <c r="T53" s="11">
        <f t="shared" si="6"/>
        <v>72.433660857065703</v>
      </c>
      <c r="U53" s="13">
        <v>-0.05</v>
      </c>
      <c r="V53" s="11">
        <f t="shared" si="4"/>
        <v>102.66401357680802</v>
      </c>
      <c r="W53" s="10">
        <v>15.12</v>
      </c>
      <c r="X53" s="10">
        <v>5.6</v>
      </c>
      <c r="Y53" s="20">
        <v>5.5</v>
      </c>
    </row>
    <row r="54" spans="1:25" x14ac:dyDescent="0.3">
      <c r="A54" s="6">
        <v>38108</v>
      </c>
      <c r="B54" s="7">
        <v>2290.77</v>
      </c>
      <c r="C54" s="8">
        <v>0.51</v>
      </c>
      <c r="D54" s="11">
        <f t="shared" si="5"/>
        <v>112.30494198579703</v>
      </c>
      <c r="E54" s="10">
        <v>0.54</v>
      </c>
      <c r="F54" s="11">
        <f t="shared" si="1"/>
        <v>109.32058002169946</v>
      </c>
      <c r="G54" s="8">
        <v>0.75</v>
      </c>
      <c r="H54" s="8">
        <v>0.35</v>
      </c>
      <c r="I54" s="8">
        <v>3.1004</v>
      </c>
      <c r="J54" s="11">
        <v>37.294838709677407</v>
      </c>
      <c r="K54" s="8">
        <v>74.64</v>
      </c>
      <c r="L54" s="8">
        <v>188.2</v>
      </c>
      <c r="M54" s="8">
        <v>1.23</v>
      </c>
      <c r="N54" s="11">
        <v>1.3708800000000001</v>
      </c>
      <c r="O54" s="11">
        <f t="shared" si="0"/>
        <v>6.9663281979458551</v>
      </c>
      <c r="P54" s="11">
        <f t="shared" si="2"/>
        <v>111.95009992133879</v>
      </c>
      <c r="Q54" s="13">
        <v>0.02</v>
      </c>
      <c r="R54" s="11">
        <f t="shared" si="3"/>
        <v>99.191787361446615</v>
      </c>
      <c r="S54" s="13">
        <v>2.2799999999999998</v>
      </c>
      <c r="T54" s="11">
        <f t="shared" si="6"/>
        <v>74.085148324606806</v>
      </c>
      <c r="U54" s="13">
        <v>0.55000000000000004</v>
      </c>
      <c r="V54" s="11">
        <f t="shared" si="4"/>
        <v>103.22866565148045</v>
      </c>
      <c r="W54" s="8">
        <v>15.8</v>
      </c>
      <c r="X54" s="8">
        <v>5.98</v>
      </c>
      <c r="Y54" s="20">
        <v>5.5</v>
      </c>
    </row>
    <row r="55" spans="1:25" x14ac:dyDescent="0.3">
      <c r="A55" s="6">
        <v>38139</v>
      </c>
      <c r="B55" s="14">
        <v>2307.0300000000002</v>
      </c>
      <c r="C55" s="10">
        <v>0.71</v>
      </c>
      <c r="D55" s="11">
        <f t="shared" si="5"/>
        <v>113.10230707389618</v>
      </c>
      <c r="E55" s="8">
        <v>1.58</v>
      </c>
      <c r="F55" s="11">
        <f t="shared" si="1"/>
        <v>111.04784518604231</v>
      </c>
      <c r="G55" s="10">
        <v>0.8</v>
      </c>
      <c r="H55" s="10">
        <v>0.31</v>
      </c>
      <c r="I55" s="10">
        <v>3.1291000000000002</v>
      </c>
      <c r="J55" s="11">
        <v>35.551333333333332</v>
      </c>
      <c r="K55" s="10">
        <v>75.25</v>
      </c>
      <c r="L55" s="10">
        <v>188.9</v>
      </c>
      <c r="M55" s="10">
        <v>1.23</v>
      </c>
      <c r="N55" s="11">
        <v>1.4395500000000001</v>
      </c>
      <c r="O55" s="11">
        <f t="shared" si="0"/>
        <v>4.7702407002188192</v>
      </c>
      <c r="P55" s="11">
        <f t="shared" si="2"/>
        <v>117.29038915172212</v>
      </c>
      <c r="Q55" s="13">
        <v>3.52</v>
      </c>
      <c r="R55" s="11">
        <f t="shared" si="3"/>
        <v>102.68333827656953</v>
      </c>
      <c r="S55" s="13">
        <v>11.35</v>
      </c>
      <c r="T55" s="11">
        <f t="shared" si="6"/>
        <v>82.493812659449674</v>
      </c>
      <c r="U55" s="13">
        <v>3.91</v>
      </c>
      <c r="V55" s="11">
        <f t="shared" si="4"/>
        <v>107.26490647845334</v>
      </c>
      <c r="W55" s="10">
        <v>15.8</v>
      </c>
      <c r="X55" s="10">
        <v>6.33</v>
      </c>
      <c r="Y55" s="20">
        <v>5.5</v>
      </c>
    </row>
    <row r="56" spans="1:25" x14ac:dyDescent="0.3">
      <c r="A56" s="6">
        <v>38169</v>
      </c>
      <c r="B56" s="7">
        <v>2328.02</v>
      </c>
      <c r="C56" s="8">
        <v>0.91</v>
      </c>
      <c r="D56" s="11">
        <f t="shared" si="5"/>
        <v>114.13153806826864</v>
      </c>
      <c r="E56" s="10">
        <v>1.03</v>
      </c>
      <c r="F56" s="11">
        <f t="shared" si="1"/>
        <v>112.19163799145855</v>
      </c>
      <c r="G56" s="8">
        <v>0.55000000000000004</v>
      </c>
      <c r="H56" s="8">
        <v>0.47</v>
      </c>
      <c r="I56" s="8">
        <v>3.0367999999999999</v>
      </c>
      <c r="J56" s="11">
        <v>37.430967741935483</v>
      </c>
      <c r="K56" s="8">
        <v>75.56</v>
      </c>
      <c r="L56" s="8">
        <v>189.1</v>
      </c>
      <c r="M56" s="8">
        <v>1.29</v>
      </c>
      <c r="N56" s="11">
        <v>1.4785699999999999</v>
      </c>
      <c r="O56" s="11">
        <f t="shared" si="0"/>
        <v>2.6390363662186997</v>
      </c>
      <c r="P56" s="11">
        <f t="shared" si="2"/>
        <v>120.3857251755155</v>
      </c>
      <c r="Q56" s="13">
        <v>2.46</v>
      </c>
      <c r="R56" s="11">
        <f t="shared" si="3"/>
        <v>105.20934839817313</v>
      </c>
      <c r="S56" s="13">
        <v>2.61</v>
      </c>
      <c r="T56" s="11">
        <f t="shared" si="6"/>
        <v>84.646901169861309</v>
      </c>
      <c r="U56" s="13">
        <v>3.2</v>
      </c>
      <c r="V56" s="11">
        <f t="shared" si="4"/>
        <v>110.69738348576385</v>
      </c>
      <c r="W56" s="8">
        <v>16.63</v>
      </c>
      <c r="X56" s="8">
        <v>6.36</v>
      </c>
      <c r="Y56" s="20">
        <v>5.5</v>
      </c>
    </row>
    <row r="57" spans="1:25" x14ac:dyDescent="0.3">
      <c r="A57" s="6">
        <v>38200</v>
      </c>
      <c r="B57" s="14">
        <v>2344.08</v>
      </c>
      <c r="C57" s="10">
        <v>0.69</v>
      </c>
      <c r="D57" s="11">
        <f t="shared" si="5"/>
        <v>114.91904568093969</v>
      </c>
      <c r="E57" s="8">
        <v>1.21</v>
      </c>
      <c r="F57" s="11">
        <f t="shared" si="1"/>
        <v>113.5491568111552</v>
      </c>
      <c r="G57" s="10">
        <v>0.3</v>
      </c>
      <c r="H57" s="10">
        <v>0.97</v>
      </c>
      <c r="I57" s="10">
        <v>3.0028999999999999</v>
      </c>
      <c r="J57" s="11">
        <v>42.756774193548388</v>
      </c>
      <c r="K57" s="10">
        <v>75.92</v>
      </c>
      <c r="L57" s="10">
        <v>189.2</v>
      </c>
      <c r="M57" s="10">
        <v>1.29</v>
      </c>
      <c r="N57" s="11">
        <v>1.5006900000000001</v>
      </c>
      <c r="O57" s="11">
        <f t="shared" si="0"/>
        <v>1.4739886318960038</v>
      </c>
      <c r="P57" s="11">
        <f t="shared" si="2"/>
        <v>122.16019707902817</v>
      </c>
      <c r="Q57" s="13">
        <v>1.64</v>
      </c>
      <c r="R57" s="11">
        <f t="shared" si="3"/>
        <v>106.93478171190317</v>
      </c>
      <c r="S57" s="13">
        <v>11.49</v>
      </c>
      <c r="T57" s="11">
        <f t="shared" si="6"/>
        <v>94.372830114278372</v>
      </c>
      <c r="U57" s="13">
        <v>0.22</v>
      </c>
      <c r="V57" s="11">
        <f t="shared" si="4"/>
        <v>110.94091772943253</v>
      </c>
      <c r="W57" s="10">
        <v>16.63</v>
      </c>
      <c r="X57" s="10">
        <v>6.27</v>
      </c>
      <c r="Y57" s="20">
        <v>5.5</v>
      </c>
    </row>
    <row r="58" spans="1:25" x14ac:dyDescent="0.3">
      <c r="A58" s="6">
        <v>38231</v>
      </c>
      <c r="B58" s="7">
        <v>2351.8200000000002</v>
      </c>
      <c r="C58" s="8">
        <v>0.33</v>
      </c>
      <c r="D58" s="11">
        <f t="shared" si="5"/>
        <v>115.29827853168679</v>
      </c>
      <c r="E58" s="10">
        <v>0.36</v>
      </c>
      <c r="F58" s="11">
        <f t="shared" si="1"/>
        <v>113.95793377567536</v>
      </c>
      <c r="G58" s="8">
        <v>0.4</v>
      </c>
      <c r="H58" s="8">
        <v>0</v>
      </c>
      <c r="I58" s="8">
        <v>2.8910999999999998</v>
      </c>
      <c r="J58" s="11">
        <v>42.537666666666667</v>
      </c>
      <c r="K58" s="8">
        <v>76.7</v>
      </c>
      <c r="L58" s="8">
        <v>189.8</v>
      </c>
      <c r="M58" s="8">
        <v>1.25</v>
      </c>
      <c r="N58" s="11">
        <v>1.50563</v>
      </c>
      <c r="O58" s="11">
        <f t="shared" si="0"/>
        <v>0.3281018576941177</v>
      </c>
      <c r="P58" s="11">
        <f t="shared" si="2"/>
        <v>122.56100695500726</v>
      </c>
      <c r="Q58" s="13">
        <v>-0.7</v>
      </c>
      <c r="R58" s="11">
        <f t="shared" si="3"/>
        <v>106.18623823991985</v>
      </c>
      <c r="S58" s="13">
        <v>1.21</v>
      </c>
      <c r="T58" s="11">
        <f t="shared" si="6"/>
        <v>95.514741358661141</v>
      </c>
      <c r="U58" s="13">
        <v>-0.03</v>
      </c>
      <c r="V58" s="11">
        <f t="shared" si="4"/>
        <v>110.9076354541137</v>
      </c>
      <c r="W58" s="8">
        <v>16.079999999999998</v>
      </c>
      <c r="X58" s="8">
        <v>6.24</v>
      </c>
      <c r="Y58" s="20">
        <v>5.5</v>
      </c>
    </row>
    <row r="59" spans="1:25" x14ac:dyDescent="0.3">
      <c r="A59" s="6">
        <v>38261</v>
      </c>
      <c r="B59" s="14">
        <v>2362.17</v>
      </c>
      <c r="C59" s="10">
        <v>0.44</v>
      </c>
      <c r="D59" s="11">
        <f t="shared" si="5"/>
        <v>115.80559095722622</v>
      </c>
      <c r="E59" s="8">
        <v>0.98</v>
      </c>
      <c r="F59" s="11">
        <f t="shared" si="1"/>
        <v>115.07472152667698</v>
      </c>
      <c r="G59" s="10">
        <v>0.41</v>
      </c>
      <c r="H59" s="10">
        <v>0.14000000000000001</v>
      </c>
      <c r="I59" s="10">
        <v>2.8529</v>
      </c>
      <c r="J59" s="11">
        <v>49.559032258064512</v>
      </c>
      <c r="K59" s="10">
        <v>76.290000000000006</v>
      </c>
      <c r="L59" s="10">
        <v>190.8</v>
      </c>
      <c r="M59" s="10">
        <v>1.21</v>
      </c>
      <c r="N59" s="11">
        <v>1.51509</v>
      </c>
      <c r="O59" s="11">
        <f t="shared" si="0"/>
        <v>0.62438535004521345</v>
      </c>
      <c r="P59" s="11">
        <f t="shared" si="2"/>
        <v>123.32625992730222</v>
      </c>
      <c r="Q59" s="13">
        <v>1.45</v>
      </c>
      <c r="R59" s="11">
        <f t="shared" si="3"/>
        <v>107.72593869439868</v>
      </c>
      <c r="S59" s="13">
        <v>5.31</v>
      </c>
      <c r="T59" s="11">
        <f t="shared" si="6"/>
        <v>100.58657412480605</v>
      </c>
      <c r="U59" s="13">
        <v>1.72</v>
      </c>
      <c r="V59" s="11">
        <f t="shared" si="4"/>
        <v>112.81524678392447</v>
      </c>
      <c r="W59" s="10">
        <v>15.53</v>
      </c>
      <c r="X59" s="10">
        <v>6.22</v>
      </c>
      <c r="Y59" s="20">
        <v>5.5</v>
      </c>
    </row>
    <row r="60" spans="1:25" x14ac:dyDescent="0.3">
      <c r="A60" s="6">
        <v>38292</v>
      </c>
      <c r="B60" s="7">
        <v>2378.4699999999998</v>
      </c>
      <c r="C60" s="8">
        <v>0.69</v>
      </c>
      <c r="D60" s="11">
        <f t="shared" si="5"/>
        <v>116.60464953483108</v>
      </c>
      <c r="E60" s="10">
        <v>1.74</v>
      </c>
      <c r="F60" s="11">
        <f t="shared" si="1"/>
        <v>117.07702168124116</v>
      </c>
      <c r="G60" s="8">
        <v>0.47</v>
      </c>
      <c r="H60" s="8">
        <v>0.28999999999999998</v>
      </c>
      <c r="I60" s="8">
        <v>2.786</v>
      </c>
      <c r="J60" s="11">
        <v>43.341666666666669</v>
      </c>
      <c r="K60" s="8">
        <v>76.989999999999995</v>
      </c>
      <c r="L60" s="8">
        <v>191.7</v>
      </c>
      <c r="M60" s="8">
        <v>1.25</v>
      </c>
      <c r="N60" s="11">
        <v>1.5210999999999999</v>
      </c>
      <c r="O60" s="11">
        <f t="shared" si="0"/>
        <v>0.39510880284004002</v>
      </c>
      <c r="P60" s="11">
        <f t="shared" si="2"/>
        <v>123.81353283648838</v>
      </c>
      <c r="Q60" s="13">
        <v>2.56</v>
      </c>
      <c r="R60" s="11">
        <f t="shared" si="3"/>
        <v>110.48372272497528</v>
      </c>
      <c r="S60" s="13">
        <v>11.17</v>
      </c>
      <c r="T60" s="11">
        <f t="shared" si="6"/>
        <v>111.82209445454689</v>
      </c>
      <c r="U60" s="13">
        <v>2.94</v>
      </c>
      <c r="V60" s="11">
        <f t="shared" si="4"/>
        <v>116.13201503937185</v>
      </c>
      <c r="W60" s="8">
        <v>16.079999999999998</v>
      </c>
      <c r="X60" s="8">
        <v>6.3</v>
      </c>
      <c r="Y60" s="20">
        <v>5.5</v>
      </c>
    </row>
    <row r="61" spans="1:25" x14ac:dyDescent="0.3">
      <c r="A61" s="6">
        <v>38322</v>
      </c>
      <c r="B61" s="14">
        <v>2398.92</v>
      </c>
      <c r="C61" s="10">
        <v>0.86</v>
      </c>
      <c r="D61" s="11">
        <f t="shared" si="5"/>
        <v>117.60744952083063</v>
      </c>
      <c r="E61" s="8">
        <v>1.71</v>
      </c>
      <c r="F61" s="11">
        <f t="shared" si="1"/>
        <v>119.07903875199038</v>
      </c>
      <c r="G61" s="10">
        <v>0.64</v>
      </c>
      <c r="H61" s="10">
        <v>0.6</v>
      </c>
      <c r="I61" s="10">
        <v>2.7181999999999999</v>
      </c>
      <c r="J61" s="11">
        <v>39.90870967741936</v>
      </c>
      <c r="K61" s="10">
        <v>76.41</v>
      </c>
      <c r="L61" s="10">
        <v>191.7</v>
      </c>
      <c r="M61" s="10">
        <v>1.48</v>
      </c>
      <c r="N61" s="11">
        <v>1.51875</v>
      </c>
      <c r="O61" s="11">
        <f t="shared" si="0"/>
        <v>-0.1547325102880561</v>
      </c>
      <c r="P61" s="11">
        <f t="shared" si="2"/>
        <v>123.62195304905416</v>
      </c>
      <c r="Q61" s="13">
        <v>5.0599999999999996</v>
      </c>
      <c r="R61" s="11">
        <f t="shared" si="3"/>
        <v>116.07419909485903</v>
      </c>
      <c r="S61" s="13">
        <v>2.81</v>
      </c>
      <c r="T61" s="11">
        <f t="shared" si="6"/>
        <v>114.96429530871966</v>
      </c>
      <c r="U61" s="13">
        <v>6.07</v>
      </c>
      <c r="V61" s="11">
        <f t="shared" si="4"/>
        <v>123.18122835226173</v>
      </c>
      <c r="W61" s="10">
        <v>19.28</v>
      </c>
      <c r="X61" s="10">
        <v>6.08</v>
      </c>
      <c r="Y61" s="20">
        <v>5.5</v>
      </c>
    </row>
    <row r="62" spans="1:25" x14ac:dyDescent="0.3">
      <c r="A62" s="6">
        <v>38353</v>
      </c>
      <c r="B62" s="7">
        <v>2412.83</v>
      </c>
      <c r="C62" s="8">
        <v>0.57999999999999996</v>
      </c>
      <c r="D62" s="11">
        <f t="shared" si="5"/>
        <v>118.28957272805144</v>
      </c>
      <c r="E62" s="10">
        <v>0.6</v>
      </c>
      <c r="F62" s="11">
        <f t="shared" si="1"/>
        <v>119.79351298450233</v>
      </c>
      <c r="G62" s="8">
        <v>0.48</v>
      </c>
      <c r="H62" s="8">
        <v>0.78</v>
      </c>
      <c r="I62" s="8">
        <v>2.6930000000000001</v>
      </c>
      <c r="J62" s="11">
        <v>43.83806451612903</v>
      </c>
      <c r="K62" s="8">
        <v>76.91</v>
      </c>
      <c r="L62" s="8">
        <v>191.6</v>
      </c>
      <c r="M62" s="8">
        <v>1.38</v>
      </c>
      <c r="N62" s="11">
        <v>1.5061</v>
      </c>
      <c r="O62" s="11">
        <f t="shared" si="0"/>
        <v>-0.83991766814952851</v>
      </c>
      <c r="P62" s="11">
        <f t="shared" si="2"/>
        <v>122.58363042368363</v>
      </c>
      <c r="Q62" s="13">
        <v>0.06</v>
      </c>
      <c r="R62" s="11">
        <f t="shared" si="3"/>
        <v>116.14384361431594</v>
      </c>
      <c r="S62" s="13">
        <v>-1.23</v>
      </c>
      <c r="T62" s="11">
        <f t="shared" si="6"/>
        <v>113.5502344764224</v>
      </c>
      <c r="U62" s="13">
        <v>1</v>
      </c>
      <c r="V62" s="11">
        <f t="shared" si="4"/>
        <v>124.41304063578434</v>
      </c>
      <c r="W62" s="8">
        <v>17.88</v>
      </c>
      <c r="X62" s="8">
        <v>5.74</v>
      </c>
      <c r="Y62" s="22">
        <v>4.5</v>
      </c>
    </row>
    <row r="63" spans="1:25" x14ac:dyDescent="0.3">
      <c r="A63" s="6">
        <v>38384</v>
      </c>
      <c r="B63" s="14">
        <v>2427.0700000000002</v>
      </c>
      <c r="C63" s="10">
        <v>0.59</v>
      </c>
      <c r="D63" s="11">
        <f t="shared" si="5"/>
        <v>118.98748120714694</v>
      </c>
      <c r="E63" s="8">
        <v>0.13</v>
      </c>
      <c r="F63" s="11">
        <f t="shared" si="1"/>
        <v>119.94924455138218</v>
      </c>
      <c r="G63" s="10">
        <v>0.06</v>
      </c>
      <c r="H63" s="10">
        <v>1.68</v>
      </c>
      <c r="I63" s="10">
        <v>2.5977999999999999</v>
      </c>
      <c r="J63" s="11">
        <v>45.023214285714289</v>
      </c>
      <c r="K63" s="10">
        <v>77.400000000000006</v>
      </c>
      <c r="L63" s="10">
        <v>192.4</v>
      </c>
      <c r="M63" s="10">
        <v>1.22</v>
      </c>
      <c r="N63" s="11">
        <v>1.5133700000000001</v>
      </c>
      <c r="O63" s="11">
        <f t="shared" si="0"/>
        <v>0.48038483649075309</v>
      </c>
      <c r="P63" s="11">
        <f t="shared" si="2"/>
        <v>123.17250359625888</v>
      </c>
      <c r="Q63" s="13">
        <v>-0.79</v>
      </c>
      <c r="R63" s="11">
        <f t="shared" si="3"/>
        <v>115.22630724976284</v>
      </c>
      <c r="S63" s="13">
        <v>-1.44</v>
      </c>
      <c r="T63" s="11">
        <f t="shared" si="6"/>
        <v>111.91511109996192</v>
      </c>
      <c r="U63" s="13">
        <v>-0.69</v>
      </c>
      <c r="V63" s="11">
        <f t="shared" si="4"/>
        <v>123.55459065539743</v>
      </c>
      <c r="W63" s="10">
        <v>15.66</v>
      </c>
      <c r="X63" s="10">
        <v>5.61</v>
      </c>
      <c r="Y63" s="22">
        <v>4.5</v>
      </c>
    </row>
    <row r="64" spans="1:25" x14ac:dyDescent="0.3">
      <c r="A64" s="6">
        <v>38412</v>
      </c>
      <c r="B64" s="7">
        <v>2441.87</v>
      </c>
      <c r="C64" s="8">
        <v>0.61</v>
      </c>
      <c r="D64" s="11">
        <f t="shared" si="5"/>
        <v>119.71330484251054</v>
      </c>
      <c r="E64" s="10">
        <v>1.33</v>
      </c>
      <c r="F64" s="11">
        <f t="shared" si="1"/>
        <v>121.54456950391557</v>
      </c>
      <c r="G64" s="8">
        <v>0.19</v>
      </c>
      <c r="H64" s="8">
        <v>0.5</v>
      </c>
      <c r="I64" s="8">
        <v>2.7046999999999999</v>
      </c>
      <c r="J64" s="11">
        <v>52.978387096774192</v>
      </c>
      <c r="K64" s="8">
        <v>77.459999999999994</v>
      </c>
      <c r="L64" s="8">
        <v>193.1</v>
      </c>
      <c r="M64" s="8">
        <v>1.53</v>
      </c>
      <c r="N64" s="11">
        <v>1.53487</v>
      </c>
      <c r="O64" s="11">
        <f t="shared" si="0"/>
        <v>1.4007700977932889</v>
      </c>
      <c r="P64" s="11">
        <f t="shared" si="2"/>
        <v>124.89786719533863</v>
      </c>
      <c r="Q64" s="13">
        <v>0.71</v>
      </c>
      <c r="R64" s="11">
        <f t="shared" si="3"/>
        <v>116.04441403123616</v>
      </c>
      <c r="S64" s="13">
        <v>0.56999999999999995</v>
      </c>
      <c r="T64" s="11">
        <f t="shared" si="6"/>
        <v>112.5530272332317</v>
      </c>
      <c r="U64" s="13">
        <v>0.97</v>
      </c>
      <c r="V64" s="11">
        <f t="shared" si="4"/>
        <v>124.75307018475479</v>
      </c>
      <c r="W64" s="8">
        <v>19.989999999999998</v>
      </c>
      <c r="X64" s="8">
        <v>5.67</v>
      </c>
      <c r="Y64" s="22">
        <v>4.5</v>
      </c>
    </row>
    <row r="65" spans="1:25" x14ac:dyDescent="0.3">
      <c r="A65" s="6">
        <v>38443</v>
      </c>
      <c r="B65" s="14">
        <v>2463.11</v>
      </c>
      <c r="C65" s="10">
        <v>0.87</v>
      </c>
      <c r="D65" s="11">
        <f t="shared" si="5"/>
        <v>120.75481059464038</v>
      </c>
      <c r="E65" s="8">
        <v>1.08</v>
      </c>
      <c r="F65" s="11">
        <f t="shared" si="1"/>
        <v>122.85725085455786</v>
      </c>
      <c r="G65" s="10">
        <v>0.94</v>
      </c>
      <c r="H65" s="10">
        <v>0.53</v>
      </c>
      <c r="I65" s="10">
        <v>2.5792000000000002</v>
      </c>
      <c r="J65" s="11">
        <v>51.858666666666657</v>
      </c>
      <c r="K65" s="10">
        <v>77.97</v>
      </c>
      <c r="L65" s="10">
        <v>193.7</v>
      </c>
      <c r="M65" s="10">
        <v>1.41</v>
      </c>
      <c r="N65" s="11">
        <v>1.5615300000000001</v>
      </c>
      <c r="O65" s="11">
        <f t="shared" si="0"/>
        <v>1.7072998917728208</v>
      </c>
      <c r="P65" s="11">
        <f t="shared" si="2"/>
        <v>127.03024834679121</v>
      </c>
      <c r="Q65" s="13">
        <v>0.42</v>
      </c>
      <c r="R65" s="11">
        <f t="shared" si="3"/>
        <v>116.53180057016735</v>
      </c>
      <c r="S65" s="13">
        <v>0.51</v>
      </c>
      <c r="T65" s="11">
        <f t="shared" si="6"/>
        <v>113.12704767212118</v>
      </c>
      <c r="U65" s="13">
        <v>-0.35</v>
      </c>
      <c r="V65" s="11">
        <f t="shared" si="4"/>
        <v>124.31643443910815</v>
      </c>
      <c r="W65" s="10">
        <v>18.3</v>
      </c>
      <c r="X65" s="10">
        <v>5.87</v>
      </c>
      <c r="Y65" s="22">
        <v>4.5</v>
      </c>
    </row>
    <row r="66" spans="1:25" x14ac:dyDescent="0.3">
      <c r="A66" s="6">
        <v>38473</v>
      </c>
      <c r="B66" s="7">
        <v>2475.1799999999998</v>
      </c>
      <c r="C66" s="8">
        <v>0.49</v>
      </c>
      <c r="D66" s="11">
        <f t="shared" si="5"/>
        <v>121.34650916655411</v>
      </c>
      <c r="E66" s="10">
        <v>-0.04</v>
      </c>
      <c r="F66" s="11">
        <f t="shared" si="1"/>
        <v>122.80810795421604</v>
      </c>
      <c r="G66" s="8">
        <v>0.72</v>
      </c>
      <c r="H66" s="8">
        <v>0.43</v>
      </c>
      <c r="I66" s="8">
        <v>2.4527999999999999</v>
      </c>
      <c r="J66" s="11">
        <v>48.835806451612903</v>
      </c>
      <c r="K66" s="8">
        <v>77.94</v>
      </c>
      <c r="L66" s="8">
        <v>193.6</v>
      </c>
      <c r="M66" s="8">
        <v>1.5</v>
      </c>
      <c r="N66" s="11">
        <v>1.60216</v>
      </c>
      <c r="O66" s="11">
        <f t="shared" si="0"/>
        <v>2.5359514655215425</v>
      </c>
      <c r="P66" s="11">
        <f t="shared" si="2"/>
        <v>130.25167379139731</v>
      </c>
      <c r="Q66" s="13">
        <v>-0.64</v>
      </c>
      <c r="R66" s="11">
        <f t="shared" si="3"/>
        <v>115.78599704651828</v>
      </c>
      <c r="S66" s="13">
        <v>-5.42</v>
      </c>
      <c r="T66" s="11">
        <f t="shared" si="6"/>
        <v>106.99556168829221</v>
      </c>
      <c r="U66" s="13">
        <v>0.41</v>
      </c>
      <c r="V66" s="11">
        <f t="shared" si="4"/>
        <v>124.82613182030849</v>
      </c>
      <c r="W66" s="8">
        <v>19.559999999999999</v>
      </c>
      <c r="X66" s="8">
        <v>5.46</v>
      </c>
      <c r="Y66" s="22">
        <v>4.5</v>
      </c>
    </row>
    <row r="67" spans="1:25" x14ac:dyDescent="0.3">
      <c r="A67" s="6">
        <v>38504</v>
      </c>
      <c r="B67" s="14">
        <v>2474.6799999999998</v>
      </c>
      <c r="C67" s="10">
        <v>-0.02</v>
      </c>
      <c r="D67" s="11">
        <f t="shared" si="5"/>
        <v>121.3222398647208</v>
      </c>
      <c r="E67" s="8">
        <v>-0.28999999999999998</v>
      </c>
      <c r="F67" s="11">
        <f t="shared" si="1"/>
        <v>122.45196444114882</v>
      </c>
      <c r="G67" s="10">
        <v>-0.06</v>
      </c>
      <c r="H67" s="10">
        <v>0.16</v>
      </c>
      <c r="I67" s="10">
        <v>2.4135</v>
      </c>
      <c r="J67" s="11">
        <v>53.491</v>
      </c>
      <c r="K67" s="10">
        <v>77.5</v>
      </c>
      <c r="L67" s="10">
        <v>193.7</v>
      </c>
      <c r="M67" s="10">
        <v>1.59</v>
      </c>
      <c r="N67" s="11">
        <v>1.69445</v>
      </c>
      <c r="O67" s="11">
        <f t="shared" si="0"/>
        <v>5.4466050930980545</v>
      </c>
      <c r="P67" s="11">
        <f t="shared" si="2"/>
        <v>137.34596808996503</v>
      </c>
      <c r="Q67" s="13">
        <v>-1.51</v>
      </c>
      <c r="R67" s="11">
        <f t="shared" si="3"/>
        <v>114.03762849111585</v>
      </c>
      <c r="S67" s="13">
        <v>-8.7899999999999991</v>
      </c>
      <c r="T67" s="11">
        <f t="shared" si="6"/>
        <v>97.590651815891334</v>
      </c>
      <c r="U67" s="13">
        <v>-0.22</v>
      </c>
      <c r="V67" s="11">
        <f t="shared" si="4"/>
        <v>124.55151433030382</v>
      </c>
      <c r="W67" s="10">
        <v>20.84</v>
      </c>
      <c r="X67" s="10">
        <v>4.8499999999999996</v>
      </c>
      <c r="Y67" s="22">
        <v>4.5</v>
      </c>
    </row>
    <row r="68" spans="1:25" x14ac:dyDescent="0.3">
      <c r="A68" s="6">
        <v>38534</v>
      </c>
      <c r="B68" s="7">
        <v>2480.87</v>
      </c>
      <c r="C68" s="8">
        <v>0.25</v>
      </c>
      <c r="D68" s="11">
        <f t="shared" si="5"/>
        <v>121.6255454643826</v>
      </c>
      <c r="E68" s="10">
        <v>0.62</v>
      </c>
      <c r="F68" s="11">
        <f t="shared" si="1"/>
        <v>123.21116662068394</v>
      </c>
      <c r="G68" s="8">
        <v>-0.25</v>
      </c>
      <c r="H68" s="8">
        <v>0.33</v>
      </c>
      <c r="I68" s="8">
        <v>2.3734999999999999</v>
      </c>
      <c r="J68" s="11">
        <v>57.308064516129029</v>
      </c>
      <c r="K68" s="8">
        <v>77.48</v>
      </c>
      <c r="L68" s="8">
        <v>194.9</v>
      </c>
      <c r="M68" s="8">
        <v>1.51</v>
      </c>
      <c r="N68" s="11">
        <v>1.7087399999999999</v>
      </c>
      <c r="O68" s="11">
        <f t="shared" si="0"/>
        <v>0.83628872736635862</v>
      </c>
      <c r="P68" s="11">
        <f t="shared" si="2"/>
        <v>138.49457693859361</v>
      </c>
      <c r="Q68" s="13">
        <v>0.87</v>
      </c>
      <c r="R68" s="11">
        <f t="shared" si="3"/>
        <v>115.02975585898857</v>
      </c>
      <c r="S68" s="13">
        <v>2.0499999999999998</v>
      </c>
      <c r="T68" s="11">
        <f t="shared" si="6"/>
        <v>99.591260178117111</v>
      </c>
      <c r="U68" s="13">
        <v>-0.16</v>
      </c>
      <c r="V68" s="11">
        <f t="shared" si="4"/>
        <v>124.35223190737533</v>
      </c>
      <c r="W68" s="8">
        <v>19.7</v>
      </c>
      <c r="X68" s="8">
        <v>4.8600000000000003</v>
      </c>
      <c r="Y68" s="22">
        <v>4.5</v>
      </c>
    </row>
    <row r="69" spans="1:25" x14ac:dyDescent="0.3">
      <c r="A69" s="6">
        <v>38565</v>
      </c>
      <c r="B69" s="14">
        <v>2485.09</v>
      </c>
      <c r="C69" s="10">
        <v>0.17</v>
      </c>
      <c r="D69" s="11">
        <f t="shared" si="5"/>
        <v>121.83230889167204</v>
      </c>
      <c r="E69" s="8">
        <v>0.41</v>
      </c>
      <c r="F69" s="11">
        <f t="shared" si="1"/>
        <v>123.71633240382874</v>
      </c>
      <c r="G69" s="10">
        <v>-0.18</v>
      </c>
      <c r="H69" s="10">
        <v>0.11</v>
      </c>
      <c r="I69" s="10">
        <v>2.3605999999999998</v>
      </c>
      <c r="J69" s="11">
        <v>63.399032258064523</v>
      </c>
      <c r="K69" s="10">
        <v>78.040000000000006</v>
      </c>
      <c r="L69" s="10">
        <v>196.1</v>
      </c>
      <c r="M69" s="10">
        <v>1.66</v>
      </c>
      <c r="N69" s="11">
        <v>1.74051</v>
      </c>
      <c r="O69" s="11">
        <f t="shared" si="0"/>
        <v>1.8253270593102067</v>
      </c>
      <c r="P69" s="11">
        <f t="shared" si="2"/>
        <v>141.02255592713095</v>
      </c>
      <c r="Q69" s="13">
        <v>0.34</v>
      </c>
      <c r="R69" s="11">
        <f t="shared" si="3"/>
        <v>115.42085702890913</v>
      </c>
      <c r="S69" s="13">
        <v>1.58</v>
      </c>
      <c r="T69" s="11">
        <f t="shared" si="6"/>
        <v>101.16480208893137</v>
      </c>
      <c r="U69" s="13">
        <v>0.08</v>
      </c>
      <c r="V69" s="11">
        <f t="shared" si="4"/>
        <v>124.45171369290122</v>
      </c>
      <c r="W69" s="10">
        <v>21.84</v>
      </c>
      <c r="X69" s="10">
        <v>4.7</v>
      </c>
      <c r="Y69" s="22">
        <v>4.5</v>
      </c>
    </row>
    <row r="70" spans="1:25" x14ac:dyDescent="0.3">
      <c r="A70" s="6">
        <v>38596</v>
      </c>
      <c r="B70" s="7">
        <v>2493.79</v>
      </c>
      <c r="C70" s="8">
        <v>0.35</v>
      </c>
      <c r="D70" s="11">
        <f t="shared" si="5"/>
        <v>122.2587219727929</v>
      </c>
      <c r="E70" s="10">
        <v>0.86</v>
      </c>
      <c r="F70" s="11">
        <f t="shared" si="1"/>
        <v>124.78029286250167</v>
      </c>
      <c r="G70" s="8">
        <v>-0.02</v>
      </c>
      <c r="H70" s="8">
        <v>0.27</v>
      </c>
      <c r="I70" s="8">
        <v>2.2944</v>
      </c>
      <c r="J70" s="11">
        <v>63.401333333333334</v>
      </c>
      <c r="K70" s="8">
        <v>77.87</v>
      </c>
      <c r="L70" s="8">
        <v>198.8</v>
      </c>
      <c r="M70" s="8">
        <v>1.5</v>
      </c>
      <c r="N70" s="11">
        <v>1.8223100000000001</v>
      </c>
      <c r="O70" s="11">
        <f t="shared" si="0"/>
        <v>4.4888081610702946</v>
      </c>
      <c r="P70" s="11">
        <f t="shared" si="2"/>
        <v>147.35278792653793</v>
      </c>
      <c r="Q70" s="13">
        <v>3.36</v>
      </c>
      <c r="R70" s="11">
        <f t="shared" si="3"/>
        <v>119.29899782508048</v>
      </c>
      <c r="S70" s="13">
        <v>1.41</v>
      </c>
      <c r="T70" s="11">
        <f t="shared" si="6"/>
        <v>102.5912257983853</v>
      </c>
      <c r="U70" s="13">
        <v>5.17</v>
      </c>
      <c r="V70" s="11">
        <f t="shared" si="4"/>
        <v>130.88586729082422</v>
      </c>
      <c r="W70" s="8">
        <v>19.559999999999999</v>
      </c>
      <c r="X70" s="8">
        <v>4.74</v>
      </c>
      <c r="Y70" s="22">
        <v>4.5</v>
      </c>
    </row>
    <row r="71" spans="1:25" x14ac:dyDescent="0.3">
      <c r="A71" s="6">
        <v>38626</v>
      </c>
      <c r="B71" s="14">
        <v>2512.4899999999998</v>
      </c>
      <c r="C71" s="10">
        <v>0.75</v>
      </c>
      <c r="D71" s="11">
        <f t="shared" si="5"/>
        <v>123.17566238758884</v>
      </c>
      <c r="E71" s="8">
        <v>2.21</v>
      </c>
      <c r="F71" s="11">
        <f t="shared" si="1"/>
        <v>127.53793733476296</v>
      </c>
      <c r="G71" s="10">
        <v>0.43</v>
      </c>
      <c r="H71" s="10">
        <v>0.31</v>
      </c>
      <c r="I71" s="10">
        <v>2.2565</v>
      </c>
      <c r="J71" s="11">
        <v>58.97451612903226</v>
      </c>
      <c r="K71" s="10">
        <v>78</v>
      </c>
      <c r="L71" s="10">
        <v>199.1</v>
      </c>
      <c r="M71" s="10">
        <v>1.41</v>
      </c>
      <c r="N71" s="11">
        <v>1.9153</v>
      </c>
      <c r="O71" s="11">
        <f t="shared" si="0"/>
        <v>4.8551140813449543</v>
      </c>
      <c r="P71" s="11">
        <f t="shared" si="2"/>
        <v>154.50693388241365</v>
      </c>
      <c r="Q71" s="13">
        <v>4.17</v>
      </c>
      <c r="R71" s="11">
        <f t="shared" si="3"/>
        <v>124.27376603438633</v>
      </c>
      <c r="S71" s="13">
        <v>10.48</v>
      </c>
      <c r="T71" s="11">
        <f t="shared" si="6"/>
        <v>113.34278626205608</v>
      </c>
      <c r="U71" s="13">
        <v>4.5</v>
      </c>
      <c r="V71" s="11">
        <f t="shared" si="4"/>
        <v>136.77573131891131</v>
      </c>
      <c r="W71" s="10">
        <v>18.3</v>
      </c>
      <c r="X71" s="10">
        <v>4.7300000000000004</v>
      </c>
      <c r="Y71" s="22">
        <v>4.5</v>
      </c>
    </row>
    <row r="72" spans="1:25" x14ac:dyDescent="0.3">
      <c r="A72" s="6">
        <v>38657</v>
      </c>
      <c r="B72" s="7">
        <v>2526.31</v>
      </c>
      <c r="C72" s="8">
        <v>0.55000000000000004</v>
      </c>
      <c r="D72" s="11">
        <f t="shared" si="5"/>
        <v>123.85312853072058</v>
      </c>
      <c r="E72" s="10">
        <v>0.66</v>
      </c>
      <c r="F72" s="11">
        <f t="shared" si="1"/>
        <v>128.37968772117239</v>
      </c>
      <c r="G72" s="8">
        <v>0.17</v>
      </c>
      <c r="H72" s="8">
        <v>0.73</v>
      </c>
      <c r="I72" s="8">
        <v>2.2107999999999999</v>
      </c>
      <c r="J72" s="11">
        <v>55.779000000000003</v>
      </c>
      <c r="K72" s="8">
        <v>78.52</v>
      </c>
      <c r="L72" s="8">
        <v>198.1</v>
      </c>
      <c r="M72" s="8">
        <v>1.38</v>
      </c>
      <c r="N72" s="11">
        <v>1.96191</v>
      </c>
      <c r="O72" s="11">
        <f t="shared" si="0"/>
        <v>2.3757460841730782</v>
      </c>
      <c r="P72" s="11">
        <f t="shared" si="2"/>
        <v>158.17762631390099</v>
      </c>
      <c r="Q72" s="13">
        <v>0.83</v>
      </c>
      <c r="R72" s="11">
        <f t="shared" si="3"/>
        <v>125.30523829247173</v>
      </c>
      <c r="S72" s="13">
        <v>2.52</v>
      </c>
      <c r="T72" s="11">
        <f t="shared" si="6"/>
        <v>116.19902447585989</v>
      </c>
      <c r="U72" s="13">
        <v>0.54</v>
      </c>
      <c r="V72" s="11">
        <f t="shared" si="4"/>
        <v>137.51432026803343</v>
      </c>
      <c r="W72" s="8">
        <v>17.88</v>
      </c>
      <c r="X72" s="8">
        <v>4.6100000000000003</v>
      </c>
      <c r="Y72" s="22">
        <v>4.5</v>
      </c>
    </row>
    <row r="73" spans="1:25" x14ac:dyDescent="0.3">
      <c r="A73" s="6">
        <v>38687</v>
      </c>
      <c r="B73" s="14">
        <v>2535.4</v>
      </c>
      <c r="C73" s="10">
        <v>0.36</v>
      </c>
      <c r="D73" s="11">
        <f t="shared" si="5"/>
        <v>124.29899979343118</v>
      </c>
      <c r="E73" s="8">
        <v>0.24</v>
      </c>
      <c r="F73" s="11">
        <f t="shared" si="1"/>
        <v>128.68779897170319</v>
      </c>
      <c r="G73" s="10">
        <v>0.23</v>
      </c>
      <c r="H73" s="10">
        <v>0.36</v>
      </c>
      <c r="I73" s="10">
        <v>2.2854999999999999</v>
      </c>
      <c r="J73" s="11">
        <v>56.423999999999999</v>
      </c>
      <c r="K73" s="10">
        <v>79.12</v>
      </c>
      <c r="L73" s="10">
        <v>198.1</v>
      </c>
      <c r="M73" s="10">
        <v>1.47</v>
      </c>
      <c r="N73" s="11">
        <v>2.0159500000000001</v>
      </c>
      <c r="O73" s="11">
        <f t="shared" si="0"/>
        <v>2.6806220392370883</v>
      </c>
      <c r="P73" s="11">
        <f t="shared" si="2"/>
        <v>162.41777062601349</v>
      </c>
      <c r="Q73" s="13">
        <v>-0.18</v>
      </c>
      <c r="R73" s="11">
        <f t="shared" si="3"/>
        <v>125.07968886354527</v>
      </c>
      <c r="S73" s="13">
        <v>4.53</v>
      </c>
      <c r="T73" s="11">
        <f t="shared" si="6"/>
        <v>121.46284028461633</v>
      </c>
      <c r="U73" s="13">
        <v>-0.26</v>
      </c>
      <c r="V73" s="11">
        <f t="shared" si="4"/>
        <v>137.15678303533653</v>
      </c>
      <c r="W73" s="10">
        <v>19.14</v>
      </c>
      <c r="X73" s="10">
        <v>4.46</v>
      </c>
      <c r="Y73" s="22">
        <v>4.5</v>
      </c>
    </row>
    <row r="74" spans="1:25" x14ac:dyDescent="0.3">
      <c r="A74" s="6">
        <v>38718</v>
      </c>
      <c r="B74" s="7">
        <v>2550.36</v>
      </c>
      <c r="C74" s="8">
        <v>0.59</v>
      </c>
      <c r="D74" s="11">
        <f t="shared" si="5"/>
        <v>125.03236389221242</v>
      </c>
      <c r="E74" s="10">
        <v>1.52</v>
      </c>
      <c r="F74" s="11">
        <f t="shared" si="1"/>
        <v>130.64385351607308</v>
      </c>
      <c r="G74" s="8">
        <v>0.33</v>
      </c>
      <c r="H74" s="8">
        <v>0.9</v>
      </c>
      <c r="I74" s="8">
        <v>2.2738999999999998</v>
      </c>
      <c r="J74" s="11">
        <v>62.256774193548388</v>
      </c>
      <c r="K74" s="8">
        <v>79.75</v>
      </c>
      <c r="L74" s="8">
        <v>199.3</v>
      </c>
      <c r="M74" s="8">
        <v>1.43</v>
      </c>
      <c r="N74" s="11">
        <v>2.0391699999999999</v>
      </c>
      <c r="O74" s="11">
        <f t="shared" si="0"/>
        <v>1.1386985881510514</v>
      </c>
      <c r="P74" s="11">
        <f t="shared" si="2"/>
        <v>164.26721948703832</v>
      </c>
      <c r="Q74" s="13">
        <v>1.19</v>
      </c>
      <c r="R74" s="11">
        <f t="shared" si="3"/>
        <v>126.56813716102145</v>
      </c>
      <c r="S74" s="13">
        <v>9.8699999999999992</v>
      </c>
      <c r="T74" s="11">
        <f t="shared" si="6"/>
        <v>133.45122262070797</v>
      </c>
      <c r="U74" s="13">
        <v>-0.28000000000000003</v>
      </c>
      <c r="V74" s="11">
        <f t="shared" si="4"/>
        <v>136.77274404283759</v>
      </c>
      <c r="W74" s="8">
        <v>18.579999999999998</v>
      </c>
      <c r="X74" s="8">
        <v>4.62</v>
      </c>
      <c r="Y74" s="20">
        <v>4.5</v>
      </c>
    </row>
    <row r="75" spans="1:25" x14ac:dyDescent="0.3">
      <c r="A75" s="6">
        <v>38749</v>
      </c>
      <c r="B75" s="14">
        <v>2560.8200000000002</v>
      </c>
      <c r="C75" s="10">
        <v>0.41</v>
      </c>
      <c r="D75" s="11">
        <f t="shared" si="5"/>
        <v>125.54499658417049</v>
      </c>
      <c r="E75" s="8">
        <v>0.76</v>
      </c>
      <c r="F75" s="11">
        <f t="shared" si="1"/>
        <v>131.63674680279524</v>
      </c>
      <c r="G75" s="10">
        <v>-0.09</v>
      </c>
      <c r="H75" s="10">
        <v>0.97</v>
      </c>
      <c r="I75" s="10">
        <v>2.1619000000000002</v>
      </c>
      <c r="J75" s="11">
        <v>60.565357142857138</v>
      </c>
      <c r="K75" s="10">
        <v>79.83</v>
      </c>
      <c r="L75" s="10">
        <v>199.4</v>
      </c>
      <c r="M75" s="10">
        <v>1.1499999999999999</v>
      </c>
      <c r="N75" s="11">
        <v>2.0388999999999999</v>
      </c>
      <c r="O75" s="11">
        <f t="shared" si="0"/>
        <v>-1.3242434646132348E-2</v>
      </c>
      <c r="P75" s="11">
        <f t="shared" si="2"/>
        <v>164.24546650785274</v>
      </c>
      <c r="Q75" s="13">
        <v>0.56999999999999995</v>
      </c>
      <c r="R75" s="11">
        <f t="shared" si="3"/>
        <v>127.28957554283927</v>
      </c>
      <c r="S75" s="13">
        <v>2.88</v>
      </c>
      <c r="T75" s="11">
        <f t="shared" si="6"/>
        <v>137.29461783218434</v>
      </c>
      <c r="U75" s="13">
        <v>0.45</v>
      </c>
      <c r="V75" s="11">
        <f t="shared" si="4"/>
        <v>137.38822139103036</v>
      </c>
      <c r="W75" s="10">
        <v>14.71</v>
      </c>
      <c r="X75" s="10">
        <v>4.4000000000000004</v>
      </c>
      <c r="Y75" s="20">
        <v>4.5</v>
      </c>
    </row>
    <row r="76" spans="1:25" x14ac:dyDescent="0.3">
      <c r="A76" s="6">
        <v>38777</v>
      </c>
      <c r="B76" s="7">
        <v>2571.83</v>
      </c>
      <c r="C76" s="8">
        <v>0.43</v>
      </c>
      <c r="D76" s="11">
        <f t="shared" si="5"/>
        <v>126.08484006948242</v>
      </c>
      <c r="E76" s="10">
        <v>1.1299999999999999</v>
      </c>
      <c r="F76" s="11">
        <f t="shared" si="1"/>
        <v>133.12424204166683</v>
      </c>
      <c r="G76" s="8">
        <v>0.3</v>
      </c>
      <c r="H76" s="8">
        <v>0.32</v>
      </c>
      <c r="I76" s="8">
        <v>2.1520000000000001</v>
      </c>
      <c r="J76" s="11">
        <v>61.45645161290323</v>
      </c>
      <c r="K76" s="8">
        <v>79.66</v>
      </c>
      <c r="L76" s="8">
        <v>199.7</v>
      </c>
      <c r="M76" s="8">
        <v>1.42</v>
      </c>
      <c r="N76" s="11">
        <v>2.05409</v>
      </c>
      <c r="O76" s="11">
        <f t="shared" si="0"/>
        <v>0.73950021664094745</v>
      </c>
      <c r="P76" s="11">
        <f t="shared" si="2"/>
        <v>165.46006208850125</v>
      </c>
      <c r="Q76" s="13">
        <v>2.78</v>
      </c>
      <c r="R76" s="11">
        <f t="shared" si="3"/>
        <v>130.82822574293021</v>
      </c>
      <c r="S76" s="13">
        <v>12.85</v>
      </c>
      <c r="T76" s="11">
        <f t="shared" si="6"/>
        <v>154.93697622362004</v>
      </c>
      <c r="U76" s="13">
        <v>0.63</v>
      </c>
      <c r="V76" s="11">
        <f t="shared" si="4"/>
        <v>138.25376718579383</v>
      </c>
      <c r="W76" s="8">
        <v>18.440000000000001</v>
      </c>
      <c r="X76" s="8">
        <v>4.3099999999999996</v>
      </c>
      <c r="Y76" s="20">
        <v>4.5</v>
      </c>
    </row>
    <row r="77" spans="1:25" x14ac:dyDescent="0.3">
      <c r="A77" s="6">
        <v>38808</v>
      </c>
      <c r="B77" s="14">
        <v>2577.23</v>
      </c>
      <c r="C77" s="10">
        <v>0.21</v>
      </c>
      <c r="D77" s="11">
        <f t="shared" si="5"/>
        <v>126.34961823362833</v>
      </c>
      <c r="E77" s="8">
        <v>-0.01</v>
      </c>
      <c r="F77" s="11">
        <f t="shared" si="1"/>
        <v>133.11092961746266</v>
      </c>
      <c r="G77" s="10">
        <v>-0.17</v>
      </c>
      <c r="H77" s="10">
        <v>0.28000000000000003</v>
      </c>
      <c r="I77" s="10">
        <v>2.1293000000000002</v>
      </c>
      <c r="J77" s="11">
        <v>69.686999999999998</v>
      </c>
      <c r="K77" s="10">
        <v>80.19</v>
      </c>
      <c r="L77" s="10">
        <v>200.7</v>
      </c>
      <c r="M77" s="10">
        <v>1.08</v>
      </c>
      <c r="N77" s="11">
        <v>2.0744600000000002</v>
      </c>
      <c r="O77" s="11">
        <f t="shared" si="0"/>
        <v>0.98194228859559696</v>
      </c>
      <c r="P77" s="11">
        <f t="shared" si="2"/>
        <v>167.08478440888476</v>
      </c>
      <c r="Q77" s="13">
        <v>-0.09</v>
      </c>
      <c r="R77" s="11">
        <f t="shared" si="3"/>
        <v>130.71048033976157</v>
      </c>
      <c r="S77" s="13">
        <v>-0.11</v>
      </c>
      <c r="T77" s="11">
        <f t="shared" si="6"/>
        <v>154.76654554977407</v>
      </c>
      <c r="U77" s="13">
        <v>-0.06</v>
      </c>
      <c r="V77" s="11">
        <f t="shared" si="4"/>
        <v>138.17081492548235</v>
      </c>
      <c r="W77" s="10">
        <v>13.76</v>
      </c>
      <c r="X77" s="10">
        <v>4.0599999999999996</v>
      </c>
      <c r="Y77" s="20">
        <v>4.5</v>
      </c>
    </row>
    <row r="78" spans="1:25" x14ac:dyDescent="0.3">
      <c r="A78" s="6">
        <v>38838</v>
      </c>
      <c r="B78" s="7">
        <v>2579.81</v>
      </c>
      <c r="C78" s="8">
        <v>0.1</v>
      </c>
      <c r="D78" s="11">
        <f t="shared" si="5"/>
        <v>126.47596785186197</v>
      </c>
      <c r="E78" s="10">
        <v>-0.42</v>
      </c>
      <c r="F78" s="11">
        <f t="shared" si="1"/>
        <v>132.55186371306931</v>
      </c>
      <c r="G78" s="8">
        <v>-0.12</v>
      </c>
      <c r="H78" s="8">
        <v>-0.03</v>
      </c>
      <c r="I78" s="8">
        <v>2.1781000000000001</v>
      </c>
      <c r="J78" s="11">
        <v>69.977419354838716</v>
      </c>
      <c r="K78" s="8">
        <v>81.2</v>
      </c>
      <c r="L78" s="8">
        <v>201.3</v>
      </c>
      <c r="M78" s="8">
        <v>1.28</v>
      </c>
      <c r="N78" s="11">
        <v>2.0811500000000001</v>
      </c>
      <c r="O78" s="11">
        <f t="shared" si="0"/>
        <v>0.321456886817378</v>
      </c>
      <c r="P78" s="11">
        <f t="shared" si="2"/>
        <v>167.62188995519108</v>
      </c>
      <c r="Q78" s="13">
        <v>0.44</v>
      </c>
      <c r="R78" s="11">
        <f t="shared" si="3"/>
        <v>131.28560645325652</v>
      </c>
      <c r="S78" s="13">
        <v>-11.06</v>
      </c>
      <c r="T78" s="11">
        <f t="shared" si="6"/>
        <v>137.64936561196905</v>
      </c>
      <c r="U78" s="13">
        <v>-0.34</v>
      </c>
      <c r="V78" s="11">
        <f t="shared" si="4"/>
        <v>137.70103415473571</v>
      </c>
      <c r="W78" s="8">
        <v>16.489999999999998</v>
      </c>
      <c r="X78" s="8">
        <v>4.0999999999999996</v>
      </c>
      <c r="Y78" s="20">
        <v>4.5</v>
      </c>
    </row>
    <row r="79" spans="1:25" x14ac:dyDescent="0.3">
      <c r="A79" s="6">
        <v>38869</v>
      </c>
      <c r="B79" s="14">
        <v>2574.39</v>
      </c>
      <c r="C79" s="10">
        <v>-0.21</v>
      </c>
      <c r="D79" s="11">
        <f t="shared" si="5"/>
        <v>126.21036831937306</v>
      </c>
      <c r="E79" s="8">
        <v>-0.93</v>
      </c>
      <c r="F79" s="11">
        <f t="shared" si="1"/>
        <v>131.31913138053775</v>
      </c>
      <c r="G79" s="10">
        <v>-0.42</v>
      </c>
      <c r="H79" s="10">
        <v>-0.26</v>
      </c>
      <c r="I79" s="10">
        <v>2.2483</v>
      </c>
      <c r="J79" s="11">
        <v>68.045000000000002</v>
      </c>
      <c r="K79" s="10">
        <v>80.36</v>
      </c>
      <c r="L79" s="10">
        <v>201.8</v>
      </c>
      <c r="M79" s="10">
        <v>1.18</v>
      </c>
      <c r="N79" s="11">
        <v>2.1008100000000001</v>
      </c>
      <c r="O79" s="11">
        <f t="shared" si="0"/>
        <v>0.93582951337817366</v>
      </c>
      <c r="P79" s="11">
        <f t="shared" si="2"/>
        <v>169.19054507227403</v>
      </c>
      <c r="Q79" s="13">
        <v>-1.6</v>
      </c>
      <c r="R79" s="11">
        <f t="shared" si="3"/>
        <v>129.18503675000443</v>
      </c>
      <c r="S79" s="13">
        <v>-8.77</v>
      </c>
      <c r="T79" s="11">
        <f t="shared" si="6"/>
        <v>125.57751624779937</v>
      </c>
      <c r="U79" s="13">
        <v>-0.15</v>
      </c>
      <c r="V79" s="11">
        <f t="shared" si="4"/>
        <v>137.4944826035036</v>
      </c>
      <c r="W79" s="10">
        <v>15.12</v>
      </c>
      <c r="X79" s="10">
        <v>3.98</v>
      </c>
      <c r="Y79" s="20">
        <v>4.5</v>
      </c>
    </row>
    <row r="80" spans="1:25" x14ac:dyDescent="0.3">
      <c r="A80" s="6">
        <v>38899</v>
      </c>
      <c r="B80" s="7">
        <v>2579.2800000000002</v>
      </c>
      <c r="C80" s="8">
        <v>0.19</v>
      </c>
      <c r="D80" s="11">
        <f t="shared" si="5"/>
        <v>126.45016801917987</v>
      </c>
      <c r="E80" s="10">
        <v>0.37</v>
      </c>
      <c r="F80" s="11">
        <f t="shared" si="1"/>
        <v>131.80501216664575</v>
      </c>
      <c r="G80" s="8">
        <v>0</v>
      </c>
      <c r="H80" s="8">
        <v>0.25</v>
      </c>
      <c r="I80" s="8">
        <v>2.1892999999999998</v>
      </c>
      <c r="J80" s="11">
        <v>73.395806451612899</v>
      </c>
      <c r="K80" s="8">
        <v>81.790000000000006</v>
      </c>
      <c r="L80" s="8">
        <v>202.9</v>
      </c>
      <c r="M80" s="8">
        <v>1.17</v>
      </c>
      <c r="N80" s="11">
        <v>2.10379</v>
      </c>
      <c r="O80" s="11">
        <f t="shared" si="0"/>
        <v>0.14164911897099913</v>
      </c>
      <c r="P80" s="11">
        <f t="shared" si="2"/>
        <v>169.43020198875115</v>
      </c>
      <c r="Q80" s="13">
        <v>0.81</v>
      </c>
      <c r="R80" s="11">
        <f t="shared" si="3"/>
        <v>130.23143554767947</v>
      </c>
      <c r="S80" s="13">
        <v>1.04</v>
      </c>
      <c r="T80" s="11">
        <f t="shared" si="6"/>
        <v>126.88352241677649</v>
      </c>
      <c r="U80" s="13">
        <v>0.19</v>
      </c>
      <c r="V80" s="11">
        <f t="shared" si="4"/>
        <v>137.75572212045026</v>
      </c>
      <c r="W80" s="8">
        <v>14.98</v>
      </c>
      <c r="X80" s="8">
        <v>4.28</v>
      </c>
      <c r="Y80" s="20">
        <v>4.5</v>
      </c>
    </row>
    <row r="81" spans="1:25" x14ac:dyDescent="0.3">
      <c r="A81" s="6">
        <v>38930</v>
      </c>
      <c r="B81" s="14">
        <v>2580.5700000000002</v>
      </c>
      <c r="C81" s="10">
        <v>0.05</v>
      </c>
      <c r="D81" s="11">
        <f t="shared" si="5"/>
        <v>126.51339310318946</v>
      </c>
      <c r="E81" s="8">
        <v>-0.32</v>
      </c>
      <c r="F81" s="11">
        <f t="shared" si="1"/>
        <v>131.38323612771248</v>
      </c>
      <c r="G81" s="10">
        <v>-0.04</v>
      </c>
      <c r="H81" s="10">
        <v>0.21</v>
      </c>
      <c r="I81" s="10">
        <v>2.1558999999999999</v>
      </c>
      <c r="J81" s="11">
        <v>73.87161290322581</v>
      </c>
      <c r="K81" s="10">
        <v>81.8</v>
      </c>
      <c r="L81" s="10">
        <v>203.8</v>
      </c>
      <c r="M81" s="10">
        <v>1.26</v>
      </c>
      <c r="N81" s="11">
        <v>2.10894</v>
      </c>
      <c r="O81" s="11">
        <f t="shared" si="0"/>
        <v>0.24419850730698778</v>
      </c>
      <c r="P81" s="11">
        <f t="shared" si="2"/>
        <v>169.8439480129349</v>
      </c>
      <c r="Q81" s="13">
        <v>-0.4</v>
      </c>
      <c r="R81" s="11">
        <f t="shared" si="3"/>
        <v>129.71050980548875</v>
      </c>
      <c r="S81" s="13">
        <v>-0.8</v>
      </c>
      <c r="T81" s="11">
        <f t="shared" si="6"/>
        <v>125.86845423744228</v>
      </c>
      <c r="U81" s="13">
        <v>0.47</v>
      </c>
      <c r="V81" s="11">
        <f t="shared" si="4"/>
        <v>138.40317401441638</v>
      </c>
      <c r="W81" s="10">
        <v>16.21</v>
      </c>
      <c r="X81" s="10">
        <v>4.4000000000000004</v>
      </c>
      <c r="Y81" s="20">
        <v>4.5</v>
      </c>
    </row>
    <row r="82" spans="1:25" x14ac:dyDescent="0.3">
      <c r="A82" s="6">
        <v>38961</v>
      </c>
      <c r="B82" s="7">
        <v>2585.9899999999998</v>
      </c>
      <c r="C82" s="8">
        <v>0.21</v>
      </c>
      <c r="D82" s="11">
        <f t="shared" si="5"/>
        <v>126.77907122870616</v>
      </c>
      <c r="E82" s="10">
        <v>-0.01</v>
      </c>
      <c r="F82" s="11">
        <f t="shared" si="1"/>
        <v>131.37009780409971</v>
      </c>
      <c r="G82" s="8">
        <v>0.16</v>
      </c>
      <c r="H82" s="8">
        <v>0.25</v>
      </c>
      <c r="I82" s="8">
        <v>2.1686999999999999</v>
      </c>
      <c r="J82" s="11">
        <v>62.787333333333329</v>
      </c>
      <c r="K82" s="8">
        <v>81.97</v>
      </c>
      <c r="L82" s="8">
        <v>202.8</v>
      </c>
      <c r="M82" s="8">
        <v>1.06</v>
      </c>
      <c r="N82" s="11">
        <v>2.1174900000000001</v>
      </c>
      <c r="O82" s="11">
        <f t="shared" si="0"/>
        <v>0.40377994701273945</v>
      </c>
      <c r="P82" s="11">
        <f t="shared" si="2"/>
        <v>170.52974381622587</v>
      </c>
      <c r="Q82" s="13">
        <v>-0.05</v>
      </c>
      <c r="R82" s="11">
        <f t="shared" si="3"/>
        <v>129.64565455058602</v>
      </c>
      <c r="S82" s="13">
        <v>-3.76</v>
      </c>
      <c r="T82" s="11">
        <f t="shared" si="6"/>
        <v>121.13580035811445</v>
      </c>
      <c r="U82" s="13">
        <v>-0.03</v>
      </c>
      <c r="V82" s="11">
        <f t="shared" si="4"/>
        <v>138.36165306221204</v>
      </c>
      <c r="W82" s="8">
        <v>13.49</v>
      </c>
      <c r="X82" s="8">
        <v>3.93</v>
      </c>
      <c r="Y82" s="20">
        <v>4.5</v>
      </c>
    </row>
    <row r="83" spans="1:25" x14ac:dyDescent="0.3">
      <c r="A83" s="6">
        <v>38991</v>
      </c>
      <c r="B83" s="14">
        <v>2594.52</v>
      </c>
      <c r="C83" s="10">
        <v>0.33</v>
      </c>
      <c r="D83" s="11">
        <f t="shared" si="5"/>
        <v>127.19744216376088</v>
      </c>
      <c r="E83" s="8">
        <v>-0.13</v>
      </c>
      <c r="F83" s="11">
        <f t="shared" si="1"/>
        <v>131.1993166769544</v>
      </c>
      <c r="G83" s="10">
        <v>0.42</v>
      </c>
      <c r="H83" s="10">
        <v>0.43</v>
      </c>
      <c r="I83" s="10">
        <v>2.1482999999999999</v>
      </c>
      <c r="J83" s="11">
        <v>58.035806451612899</v>
      </c>
      <c r="K83" s="10">
        <v>82.92</v>
      </c>
      <c r="L83" s="10">
        <v>201.9</v>
      </c>
      <c r="M83" s="10">
        <v>1.0900000000000001</v>
      </c>
      <c r="N83" s="11">
        <v>2.1162700000000001</v>
      </c>
      <c r="O83" s="11">
        <f t="shared" si="0"/>
        <v>-5.7648598713774653E-2</v>
      </c>
      <c r="P83" s="11">
        <f t="shared" si="2"/>
        <v>170.43143580852563</v>
      </c>
      <c r="Q83" s="13">
        <v>-0.11</v>
      </c>
      <c r="R83" s="11">
        <f t="shared" si="3"/>
        <v>129.50304433058037</v>
      </c>
      <c r="S83" s="13">
        <v>-3.28</v>
      </c>
      <c r="T83" s="11">
        <f t="shared" si="6"/>
        <v>117.1625461063683</v>
      </c>
      <c r="U83" s="13">
        <v>-0.23</v>
      </c>
      <c r="V83" s="11">
        <f t="shared" si="4"/>
        <v>138.04342126016894</v>
      </c>
      <c r="W83" s="10">
        <v>13.89</v>
      </c>
      <c r="X83" s="10">
        <v>4</v>
      </c>
      <c r="Y83" s="20">
        <v>4.5</v>
      </c>
    </row>
    <row r="84" spans="1:25" x14ac:dyDescent="0.3">
      <c r="A84" s="6">
        <v>39022</v>
      </c>
      <c r="B84" s="7">
        <v>2602.56</v>
      </c>
      <c r="C84" s="8">
        <v>0.31</v>
      </c>
      <c r="D84" s="11">
        <f t="shared" si="5"/>
        <v>127.59175423446854</v>
      </c>
      <c r="E84" s="10">
        <v>-0.09</v>
      </c>
      <c r="F84" s="11">
        <f t="shared" si="1"/>
        <v>131.08123729194514</v>
      </c>
      <c r="G84" s="8">
        <v>0.54</v>
      </c>
      <c r="H84" s="8">
        <v>0.37</v>
      </c>
      <c r="I84" s="8">
        <v>2.1579000000000002</v>
      </c>
      <c r="J84" s="11">
        <v>58.319333333333333</v>
      </c>
      <c r="K84" s="8">
        <v>83.47</v>
      </c>
      <c r="L84" s="8">
        <v>202</v>
      </c>
      <c r="M84" s="8">
        <v>1.02</v>
      </c>
      <c r="N84" s="11">
        <v>2.1160899999999998</v>
      </c>
      <c r="O84" s="11">
        <f t="shared" si="0"/>
        <v>-8.5062544598902244E-3</v>
      </c>
      <c r="P84" s="11">
        <f t="shared" si="2"/>
        <v>170.41693847691613</v>
      </c>
      <c r="Q84" s="13">
        <v>-0.17</v>
      </c>
      <c r="R84" s="11">
        <f t="shared" si="3"/>
        <v>129.28288915521838</v>
      </c>
      <c r="S84" s="13">
        <v>-0.86</v>
      </c>
      <c r="T84" s="11">
        <f t="shared" si="6"/>
        <v>116.15494820985353</v>
      </c>
      <c r="U84" s="13">
        <v>0.02</v>
      </c>
      <c r="V84" s="11">
        <f t="shared" si="4"/>
        <v>138.07102994442099</v>
      </c>
      <c r="W84" s="8">
        <v>12.95</v>
      </c>
      <c r="X84" s="8">
        <v>4.1399999999999997</v>
      </c>
      <c r="Y84" s="20">
        <v>4.5</v>
      </c>
    </row>
    <row r="85" spans="1:25" x14ac:dyDescent="0.3">
      <c r="A85" s="6">
        <v>39052</v>
      </c>
      <c r="B85" s="14">
        <v>2615.0500000000002</v>
      </c>
      <c r="C85" s="10">
        <v>0.48</v>
      </c>
      <c r="D85" s="11">
        <f t="shared" si="5"/>
        <v>128.20419465479398</v>
      </c>
      <c r="E85" s="8">
        <v>1.1399999999999999</v>
      </c>
      <c r="F85" s="11">
        <f t="shared" si="1"/>
        <v>132.57556339707332</v>
      </c>
      <c r="G85" s="10">
        <v>0.4</v>
      </c>
      <c r="H85" s="10">
        <v>0.25</v>
      </c>
      <c r="I85" s="10">
        <v>2.1499000000000001</v>
      </c>
      <c r="J85" s="11">
        <v>62.425666666666658</v>
      </c>
      <c r="K85" s="10">
        <v>84.53</v>
      </c>
      <c r="L85" s="10">
        <v>203.1</v>
      </c>
      <c r="M85" s="10">
        <v>0.99</v>
      </c>
      <c r="N85" s="11">
        <v>2.1148099999999999</v>
      </c>
      <c r="O85" s="11">
        <f t="shared" si="0"/>
        <v>-6.0525531844465831E-2</v>
      </c>
      <c r="P85" s="11">
        <f t="shared" si="2"/>
        <v>170.31379271854993</v>
      </c>
      <c r="Q85" s="13">
        <v>-0.41</v>
      </c>
      <c r="R85" s="11">
        <f t="shared" si="3"/>
        <v>128.752829309682</v>
      </c>
      <c r="S85" s="13">
        <v>-0.78</v>
      </c>
      <c r="T85" s="11">
        <f t="shared" si="6"/>
        <v>115.24893961381667</v>
      </c>
      <c r="U85" s="13">
        <v>0.02</v>
      </c>
      <c r="V85" s="11">
        <f t="shared" si="4"/>
        <v>138.09864415040988</v>
      </c>
      <c r="W85" s="10">
        <v>12.55</v>
      </c>
      <c r="X85" s="10">
        <v>4.08</v>
      </c>
      <c r="Y85" s="20">
        <v>4.5</v>
      </c>
    </row>
    <row r="86" spans="1:25" x14ac:dyDescent="0.3">
      <c r="A86" s="6">
        <v>39083</v>
      </c>
      <c r="B86" s="7">
        <v>2626.56</v>
      </c>
      <c r="C86" s="8">
        <v>0.44</v>
      </c>
      <c r="D86" s="11">
        <f t="shared" si="5"/>
        <v>128.76829311127509</v>
      </c>
      <c r="E86" s="10">
        <v>0.62</v>
      </c>
      <c r="F86" s="11">
        <f t="shared" si="1"/>
        <v>133.39753189013518</v>
      </c>
      <c r="G86" s="8">
        <v>0.22</v>
      </c>
      <c r="H86" s="8">
        <v>0.8</v>
      </c>
      <c r="I86" s="8">
        <v>2.1385000000000001</v>
      </c>
      <c r="J86" s="11">
        <v>53.844838709677418</v>
      </c>
      <c r="K86" s="8">
        <v>84.23</v>
      </c>
      <c r="L86" s="8">
        <v>203.44</v>
      </c>
      <c r="M86" s="8">
        <v>1.08</v>
      </c>
      <c r="N86" s="11">
        <v>2.1136300000000001</v>
      </c>
      <c r="O86" s="11">
        <f t="shared" si="0"/>
        <v>-5.58281250739125E-2</v>
      </c>
      <c r="P86" s="11">
        <f t="shared" si="2"/>
        <v>170.21870972133289</v>
      </c>
      <c r="Q86" s="13">
        <v>-0.56999999999999995</v>
      </c>
      <c r="R86" s="11">
        <f t="shared" si="3"/>
        <v>128.01893818261681</v>
      </c>
      <c r="S86" s="13">
        <v>7.23</v>
      </c>
      <c r="T86" s="11">
        <f t="shared" si="6"/>
        <v>123.58143794789562</v>
      </c>
      <c r="U86" s="13">
        <v>-0.16</v>
      </c>
      <c r="V86" s="11">
        <f t="shared" si="4"/>
        <v>137.87768631976923</v>
      </c>
      <c r="W86" s="8">
        <v>13.76</v>
      </c>
      <c r="X86" s="8">
        <v>4.03</v>
      </c>
      <c r="Y86" s="22">
        <v>4.5</v>
      </c>
    </row>
    <row r="87" spans="1:25" x14ac:dyDescent="0.3">
      <c r="A87" s="6">
        <v>39114</v>
      </c>
      <c r="B87" s="14">
        <v>2638.12</v>
      </c>
      <c r="C87" s="10">
        <v>0.44</v>
      </c>
      <c r="D87" s="11">
        <f t="shared" si="5"/>
        <v>129.3348736009647</v>
      </c>
      <c r="E87" s="8">
        <v>7.0000000000000007E-2</v>
      </c>
      <c r="F87" s="11">
        <f t="shared" si="1"/>
        <v>133.49091016245828</v>
      </c>
      <c r="G87" s="10">
        <v>-0.1</v>
      </c>
      <c r="H87" s="10">
        <v>1.23</v>
      </c>
      <c r="I87" s="10">
        <v>2.0962999999999998</v>
      </c>
      <c r="J87" s="11">
        <v>57.043928571428573</v>
      </c>
      <c r="K87" s="10">
        <v>84.47</v>
      </c>
      <c r="L87" s="10">
        <v>204.23</v>
      </c>
      <c r="M87" s="10">
        <v>0.87</v>
      </c>
      <c r="N87" s="11">
        <v>2.1095799999999998</v>
      </c>
      <c r="O87" s="11">
        <f t="shared" si="0"/>
        <v>-0.19198134225771629</v>
      </c>
      <c r="P87" s="11">
        <f t="shared" si="2"/>
        <v>169.8919215576361</v>
      </c>
      <c r="Q87" s="13">
        <v>-0.86</v>
      </c>
      <c r="R87" s="11">
        <f t="shared" si="3"/>
        <v>126.91797531424631</v>
      </c>
      <c r="S87" s="13">
        <v>-0.81</v>
      </c>
      <c r="T87" s="11">
        <f t="shared" si="6"/>
        <v>122.58042830051767</v>
      </c>
      <c r="U87" s="13">
        <v>0.28000000000000003</v>
      </c>
      <c r="V87" s="11">
        <f t="shared" si="4"/>
        <v>138.26374384146459</v>
      </c>
      <c r="W87" s="10">
        <v>10.95</v>
      </c>
      <c r="X87" s="10">
        <v>3.81</v>
      </c>
      <c r="Y87" s="22">
        <v>4.5</v>
      </c>
    </row>
    <row r="88" spans="1:25" x14ac:dyDescent="0.3">
      <c r="A88" s="6">
        <v>39142</v>
      </c>
      <c r="B88" s="7">
        <v>2647.88</v>
      </c>
      <c r="C88" s="8">
        <v>0.37</v>
      </c>
      <c r="D88" s="11">
        <f t="shared" si="5"/>
        <v>129.81341263328827</v>
      </c>
      <c r="E88" s="10">
        <v>0.22</v>
      </c>
      <c r="F88" s="11">
        <f t="shared" si="1"/>
        <v>133.78459016481568</v>
      </c>
      <c r="G88" s="8">
        <v>0.21</v>
      </c>
      <c r="H88" s="8">
        <v>0.66</v>
      </c>
      <c r="I88" s="8">
        <v>2.0886999999999998</v>
      </c>
      <c r="J88" s="11">
        <v>61.383870967741942</v>
      </c>
      <c r="K88" s="8">
        <v>83.87</v>
      </c>
      <c r="L88" s="8">
        <v>205.29</v>
      </c>
      <c r="M88" s="8">
        <v>1.05</v>
      </c>
      <c r="N88" s="11">
        <v>2.10886</v>
      </c>
      <c r="O88" s="11">
        <f t="shared" si="0"/>
        <v>-3.4141668958576288E-2</v>
      </c>
      <c r="P88" s="11">
        <f t="shared" si="2"/>
        <v>169.83391762019053</v>
      </c>
      <c r="Q88" s="13">
        <v>0.72</v>
      </c>
      <c r="R88" s="11">
        <f t="shared" si="3"/>
        <v>127.83178473650888</v>
      </c>
      <c r="S88" s="13">
        <v>-0.65</v>
      </c>
      <c r="T88" s="11">
        <f t="shared" si="6"/>
        <v>121.78365551656431</v>
      </c>
      <c r="U88" s="13">
        <v>0.04</v>
      </c>
      <c r="V88" s="11">
        <f t="shared" si="4"/>
        <v>138.31904933900117</v>
      </c>
      <c r="W88" s="8">
        <v>13.35</v>
      </c>
      <c r="X88" s="8">
        <v>3.74</v>
      </c>
      <c r="Y88" s="22">
        <v>4.5</v>
      </c>
    </row>
    <row r="89" spans="1:25" x14ac:dyDescent="0.3">
      <c r="A89" s="6">
        <v>39173</v>
      </c>
      <c r="B89" s="14">
        <v>2654.5</v>
      </c>
      <c r="C89" s="10">
        <v>0.25</v>
      </c>
      <c r="D89" s="11">
        <f t="shared" si="5"/>
        <v>130.13794616487149</v>
      </c>
      <c r="E89" s="8">
        <v>0.31</v>
      </c>
      <c r="F89" s="11">
        <f t="shared" si="1"/>
        <v>134.1993223943266</v>
      </c>
      <c r="G89" s="10">
        <v>0.25</v>
      </c>
      <c r="H89" s="10">
        <v>0.13</v>
      </c>
      <c r="I89" s="10">
        <v>2.032</v>
      </c>
      <c r="J89" s="11">
        <v>67.526333333333326</v>
      </c>
      <c r="K89" s="10">
        <v>85</v>
      </c>
      <c r="L89" s="10">
        <v>205.9</v>
      </c>
      <c r="M89" s="10">
        <v>0.94</v>
      </c>
      <c r="N89" s="11">
        <v>2.1040199999999998</v>
      </c>
      <c r="O89" s="11">
        <f t="shared" si="0"/>
        <v>-0.23003583616126166</v>
      </c>
      <c r="P89" s="11">
        <f t="shared" si="2"/>
        <v>169.44323874770751</v>
      </c>
      <c r="Q89" s="13">
        <v>0.66</v>
      </c>
      <c r="R89" s="11">
        <f t="shared" si="3"/>
        <v>128.67547451576985</v>
      </c>
      <c r="S89" s="13">
        <v>7.34</v>
      </c>
      <c r="T89" s="11">
        <f t="shared" si="6"/>
        <v>130.72257583148013</v>
      </c>
      <c r="U89" s="13">
        <v>-0.1</v>
      </c>
      <c r="V89" s="11">
        <f t="shared" si="4"/>
        <v>138.18073028966216</v>
      </c>
      <c r="W89" s="10">
        <v>11.88</v>
      </c>
      <c r="X89" s="10">
        <v>3.47</v>
      </c>
      <c r="Y89" s="22">
        <v>4.5</v>
      </c>
    </row>
    <row r="90" spans="1:25" x14ac:dyDescent="0.3">
      <c r="A90" s="6">
        <v>39203</v>
      </c>
      <c r="B90" s="7">
        <v>2661.93</v>
      </c>
      <c r="C90" s="8">
        <v>0.28000000000000003</v>
      </c>
      <c r="D90" s="11">
        <f t="shared" si="5"/>
        <v>130.50233241413312</v>
      </c>
      <c r="E90" s="10">
        <v>0.23</v>
      </c>
      <c r="F90" s="11">
        <f t="shared" si="1"/>
        <v>134.50798083583356</v>
      </c>
      <c r="G90" s="8">
        <v>0.48</v>
      </c>
      <c r="H90" s="8">
        <v>0.04</v>
      </c>
      <c r="I90" s="8">
        <v>1.9816</v>
      </c>
      <c r="J90" s="11">
        <v>67.138709677419357</v>
      </c>
      <c r="K90" s="8">
        <v>85.78</v>
      </c>
      <c r="L90" s="8">
        <v>206.76</v>
      </c>
      <c r="M90" s="8">
        <v>1.03</v>
      </c>
      <c r="N90" s="11">
        <v>2.1061899999999998</v>
      </c>
      <c r="O90" s="11">
        <f t="shared" si="0"/>
        <v>0.10302964120046175</v>
      </c>
      <c r="P90" s="11">
        <f t="shared" si="2"/>
        <v>169.61781550862773</v>
      </c>
      <c r="Q90" s="13">
        <v>0.33</v>
      </c>
      <c r="R90" s="11">
        <f t="shared" si="3"/>
        <v>129.1001035816719</v>
      </c>
      <c r="S90" s="13">
        <v>2.82</v>
      </c>
      <c r="T90" s="11">
        <f t="shared" si="6"/>
        <v>134.40895246992787</v>
      </c>
      <c r="U90" s="13">
        <v>0.43</v>
      </c>
      <c r="V90" s="11">
        <f t="shared" si="4"/>
        <v>138.7749074299077</v>
      </c>
      <c r="W90" s="8">
        <v>13.08</v>
      </c>
      <c r="X90" s="8">
        <v>3.4</v>
      </c>
      <c r="Y90" s="22">
        <v>4.5</v>
      </c>
    </row>
    <row r="91" spans="1:25" x14ac:dyDescent="0.3">
      <c r="A91" s="6">
        <v>39234</v>
      </c>
      <c r="B91" s="14">
        <v>2669.38</v>
      </c>
      <c r="C91" s="10">
        <v>0.28000000000000003</v>
      </c>
      <c r="D91" s="11">
        <f t="shared" si="5"/>
        <v>130.86773894489269</v>
      </c>
      <c r="E91" s="8">
        <v>-0.4</v>
      </c>
      <c r="F91" s="11">
        <f t="shared" si="1"/>
        <v>133.96994891249022</v>
      </c>
      <c r="G91" s="10">
        <v>0.55000000000000004</v>
      </c>
      <c r="H91" s="10">
        <v>0.32</v>
      </c>
      <c r="I91" s="10">
        <v>1.9319</v>
      </c>
      <c r="J91" s="11">
        <v>70.671999999999997</v>
      </c>
      <c r="K91" s="10">
        <v>86.42</v>
      </c>
      <c r="L91" s="10">
        <v>207.23</v>
      </c>
      <c r="M91" s="10">
        <v>0.91</v>
      </c>
      <c r="N91" s="11">
        <v>2.1052300000000002</v>
      </c>
      <c r="O91" s="11">
        <f t="shared" si="0"/>
        <v>-4.5600718211294147E-2</v>
      </c>
      <c r="P91" s="11">
        <f t="shared" si="2"/>
        <v>169.54046856654148</v>
      </c>
      <c r="Q91" s="13">
        <v>-0.77</v>
      </c>
      <c r="R91" s="11">
        <f t="shared" si="3"/>
        <v>128.10603278409303</v>
      </c>
      <c r="S91" s="13">
        <v>-12.35</v>
      </c>
      <c r="T91" s="11">
        <f t="shared" si="6"/>
        <v>117.80944683989178</v>
      </c>
      <c r="U91" s="13">
        <v>-0.87</v>
      </c>
      <c r="V91" s="11">
        <f t="shared" si="4"/>
        <v>137.56756573526749</v>
      </c>
      <c r="W91" s="10">
        <v>11.48</v>
      </c>
      <c r="X91" s="10">
        <v>3.47</v>
      </c>
      <c r="Y91" s="22">
        <v>4.5</v>
      </c>
    </row>
    <row r="92" spans="1:25" x14ac:dyDescent="0.3">
      <c r="A92" s="6">
        <v>39264</v>
      </c>
      <c r="B92" s="7">
        <v>2675.79</v>
      </c>
      <c r="C92" s="8">
        <v>0.24</v>
      </c>
      <c r="D92" s="11">
        <f t="shared" si="5"/>
        <v>131.18182151836044</v>
      </c>
      <c r="E92" s="10">
        <v>-0.08</v>
      </c>
      <c r="F92" s="11">
        <f t="shared" si="1"/>
        <v>133.86277295336023</v>
      </c>
      <c r="G92" s="8">
        <v>0.83</v>
      </c>
      <c r="H92" s="8">
        <v>0.09</v>
      </c>
      <c r="I92" s="8">
        <v>1.8828</v>
      </c>
      <c r="J92" s="11">
        <v>76.496896551724134</v>
      </c>
      <c r="K92" s="8">
        <v>86.93</v>
      </c>
      <c r="L92" s="8">
        <v>207.6</v>
      </c>
      <c r="M92" s="8">
        <v>0.97</v>
      </c>
      <c r="N92" s="11">
        <v>2.1042299999999998</v>
      </c>
      <c r="O92" s="11">
        <f t="shared" ref="O92:O155" si="7">((N92-N91)/N92)*100</f>
        <v>-4.7523322070321873E-2</v>
      </c>
      <c r="P92" s="11">
        <f t="shared" si="2"/>
        <v>169.45989730362507</v>
      </c>
      <c r="Q92" s="13">
        <v>-0.51</v>
      </c>
      <c r="R92" s="11">
        <f t="shared" si="3"/>
        <v>127.45269201689416</v>
      </c>
      <c r="S92" s="13">
        <v>-6.96</v>
      </c>
      <c r="T92" s="11">
        <f t="shared" si="6"/>
        <v>109.60990933983531</v>
      </c>
      <c r="U92" s="13">
        <v>-0.22</v>
      </c>
      <c r="V92" s="11">
        <f t="shared" si="4"/>
        <v>137.2649170906499</v>
      </c>
      <c r="W92" s="8">
        <v>12.28</v>
      </c>
      <c r="X92" s="8">
        <v>3.55</v>
      </c>
      <c r="Y92" s="22">
        <v>4.5</v>
      </c>
    </row>
    <row r="93" spans="1:25" x14ac:dyDescent="0.3">
      <c r="A93" s="6">
        <v>39295</v>
      </c>
      <c r="B93" s="14">
        <v>2688.37</v>
      </c>
      <c r="C93" s="10">
        <v>0.47</v>
      </c>
      <c r="D93" s="11">
        <f t="shared" si="5"/>
        <v>131.79837607949673</v>
      </c>
      <c r="E93" s="8">
        <v>0.05</v>
      </c>
      <c r="F93" s="11">
        <f t="shared" si="1"/>
        <v>133.92970433983692</v>
      </c>
      <c r="G93" s="10">
        <v>0.75</v>
      </c>
      <c r="H93" s="10">
        <v>0.51</v>
      </c>
      <c r="I93" s="10">
        <v>1.966</v>
      </c>
      <c r="J93" s="11">
        <v>71.265161290322581</v>
      </c>
      <c r="K93" s="10">
        <v>87.1</v>
      </c>
      <c r="L93" s="10">
        <v>207.67</v>
      </c>
      <c r="M93" s="10">
        <v>0.99</v>
      </c>
      <c r="N93" s="11">
        <v>2.10426</v>
      </c>
      <c r="O93" s="11">
        <f t="shared" si="7"/>
        <v>1.4256793362130409E-3</v>
      </c>
      <c r="P93" s="11">
        <f t="shared" si="2"/>
        <v>169.46231325836411</v>
      </c>
      <c r="Q93" s="13">
        <v>-0.89</v>
      </c>
      <c r="R93" s="11">
        <f t="shared" si="3"/>
        <v>126.3183630579438</v>
      </c>
      <c r="S93" s="13">
        <v>-3.76</v>
      </c>
      <c r="T93" s="11">
        <f t="shared" si="6"/>
        <v>105.48857674865751</v>
      </c>
      <c r="U93" s="13">
        <v>-0.12</v>
      </c>
      <c r="V93" s="11">
        <f t="shared" si="4"/>
        <v>137.10019919014113</v>
      </c>
      <c r="W93" s="10">
        <v>12.55</v>
      </c>
      <c r="X93" s="10">
        <v>3.83</v>
      </c>
      <c r="Y93" s="22">
        <v>4.5</v>
      </c>
    </row>
    <row r="94" spans="1:25" x14ac:dyDescent="0.3">
      <c r="A94" s="6">
        <v>39326</v>
      </c>
      <c r="B94" s="7">
        <v>2693.21</v>
      </c>
      <c r="C94" s="8">
        <v>0.18</v>
      </c>
      <c r="D94" s="11">
        <f t="shared" si="5"/>
        <v>132.03561315643984</v>
      </c>
      <c r="E94" s="10">
        <v>-0.16</v>
      </c>
      <c r="F94" s="11">
        <f t="shared" si="1"/>
        <v>133.71541681289318</v>
      </c>
      <c r="G94" s="8">
        <v>0.26</v>
      </c>
      <c r="H94" s="8">
        <v>0.28999999999999998</v>
      </c>
      <c r="I94" s="8">
        <v>1.8996</v>
      </c>
      <c r="J94" s="11">
        <v>76.111666666666665</v>
      </c>
      <c r="K94" s="8">
        <v>87.8</v>
      </c>
      <c r="L94" s="8">
        <v>208.55</v>
      </c>
      <c r="M94" s="8">
        <v>0.8</v>
      </c>
      <c r="N94" s="11">
        <v>2.10561</v>
      </c>
      <c r="O94" s="11">
        <f t="shared" si="7"/>
        <v>6.4114437146478326E-2</v>
      </c>
      <c r="P94" s="11">
        <f t="shared" si="2"/>
        <v>169.5709630666851</v>
      </c>
      <c r="Q94" s="13">
        <v>-0.79</v>
      </c>
      <c r="R94" s="11">
        <f t="shared" si="3"/>
        <v>125.32044798978605</v>
      </c>
      <c r="S94" s="13">
        <v>-1.77</v>
      </c>
      <c r="T94" s="11">
        <f t="shared" si="6"/>
        <v>103.62142894020627</v>
      </c>
      <c r="U94" s="13">
        <v>-7.0000000000000007E-2</v>
      </c>
      <c r="V94" s="11">
        <f t="shared" si="4"/>
        <v>137.00422905070803</v>
      </c>
      <c r="W94" s="8">
        <v>10.029999999999999</v>
      </c>
      <c r="X94" s="8">
        <v>3.75</v>
      </c>
      <c r="Y94" s="22">
        <v>4.5</v>
      </c>
    </row>
    <row r="95" spans="1:25" x14ac:dyDescent="0.3">
      <c r="A95" s="6">
        <v>39356</v>
      </c>
      <c r="B95" s="14">
        <v>2701.29</v>
      </c>
      <c r="C95" s="10">
        <v>0.3</v>
      </c>
      <c r="D95" s="11">
        <f t="shared" si="5"/>
        <v>132.43171999590916</v>
      </c>
      <c r="E95" s="8">
        <v>0.12</v>
      </c>
      <c r="F95" s="11">
        <f t="shared" si="1"/>
        <v>133.87587531306866</v>
      </c>
      <c r="G95" s="10">
        <v>-0.02</v>
      </c>
      <c r="H95" s="10">
        <v>0.81</v>
      </c>
      <c r="I95" s="10">
        <v>1.8009999999999999</v>
      </c>
      <c r="J95" s="11">
        <v>81.528709677419357</v>
      </c>
      <c r="K95" s="10">
        <v>88.64</v>
      </c>
      <c r="L95" s="10">
        <v>209.19</v>
      </c>
      <c r="M95" s="10">
        <v>0.93</v>
      </c>
      <c r="N95" s="11">
        <v>2.1034899999999999</v>
      </c>
      <c r="O95" s="11">
        <f t="shared" si="7"/>
        <v>-0.10078488607029851</v>
      </c>
      <c r="P95" s="11">
        <f t="shared" si="2"/>
        <v>169.40006116475004</v>
      </c>
      <c r="Q95" s="13">
        <v>0.36</v>
      </c>
      <c r="R95" s="11">
        <f t="shared" si="3"/>
        <v>125.77160160254928</v>
      </c>
      <c r="S95" s="13">
        <v>-0.9</v>
      </c>
      <c r="T95" s="11">
        <f t="shared" si="6"/>
        <v>102.68883607974442</v>
      </c>
      <c r="U95" s="13">
        <v>-0.24</v>
      </c>
      <c r="V95" s="11">
        <f t="shared" si="4"/>
        <v>136.67541890098633</v>
      </c>
      <c r="W95" s="10">
        <v>11.75</v>
      </c>
      <c r="X95" s="10">
        <v>3.71</v>
      </c>
      <c r="Y95" s="22">
        <v>4.5</v>
      </c>
    </row>
    <row r="96" spans="1:25" x14ac:dyDescent="0.3">
      <c r="A96" s="6">
        <v>39387</v>
      </c>
      <c r="B96" s="7">
        <v>2711.55</v>
      </c>
      <c r="C96" s="8">
        <v>0.38</v>
      </c>
      <c r="D96" s="11">
        <f t="shared" si="5"/>
        <v>132.93496053189361</v>
      </c>
      <c r="E96" s="10">
        <v>0.38</v>
      </c>
      <c r="F96" s="11">
        <f t="shared" si="1"/>
        <v>134.38460363925833</v>
      </c>
      <c r="G96" s="8">
        <v>0.21</v>
      </c>
      <c r="H96" s="8">
        <v>0.64</v>
      </c>
      <c r="I96" s="8">
        <v>1.7699</v>
      </c>
      <c r="J96" s="11">
        <v>92.375172413793109</v>
      </c>
      <c r="K96" s="8">
        <v>88.6</v>
      </c>
      <c r="L96" s="8">
        <v>210.83</v>
      </c>
      <c r="M96" s="8">
        <v>0.84</v>
      </c>
      <c r="N96" s="11">
        <v>2.0995300000000001</v>
      </c>
      <c r="O96" s="11">
        <f t="shared" si="7"/>
        <v>-0.18861364210083881</v>
      </c>
      <c r="P96" s="11">
        <f t="shared" si="2"/>
        <v>169.08054953966615</v>
      </c>
      <c r="Q96" s="13">
        <v>0.64</v>
      </c>
      <c r="R96" s="11">
        <f t="shared" si="3"/>
        <v>126.5765398528056</v>
      </c>
      <c r="S96" s="13">
        <v>5.29</v>
      </c>
      <c r="T96" s="11">
        <f t="shared" si="6"/>
        <v>108.12107550836291</v>
      </c>
      <c r="U96" s="13">
        <v>0.16</v>
      </c>
      <c r="V96" s="11">
        <f t="shared" si="4"/>
        <v>136.89409957122791</v>
      </c>
      <c r="W96" s="8">
        <v>10.56</v>
      </c>
      <c r="X96" s="8">
        <v>3.85</v>
      </c>
      <c r="Y96" s="22">
        <v>4.5</v>
      </c>
    </row>
    <row r="97" spans="1:25" x14ac:dyDescent="0.3">
      <c r="A97" s="6">
        <v>39417</v>
      </c>
      <c r="B97" s="14">
        <v>2731.62</v>
      </c>
      <c r="C97" s="10">
        <v>0.74</v>
      </c>
      <c r="D97" s="11">
        <f t="shared" si="5"/>
        <v>133.91867923982963</v>
      </c>
      <c r="E97" s="8">
        <v>0.71</v>
      </c>
      <c r="F97" s="11">
        <f t="shared" si="1"/>
        <v>135.33873432509705</v>
      </c>
      <c r="G97" s="10">
        <v>1</v>
      </c>
      <c r="H97" s="10">
        <v>0.97</v>
      </c>
      <c r="I97" s="10">
        <v>1.786</v>
      </c>
      <c r="J97" s="11">
        <v>90.89464285714287</v>
      </c>
      <c r="K97" s="10">
        <v>89.39</v>
      </c>
      <c r="L97" s="10">
        <v>211.45</v>
      </c>
      <c r="M97" s="10">
        <v>0.84</v>
      </c>
      <c r="N97" s="11">
        <v>2.09782</v>
      </c>
      <c r="O97" s="11">
        <f t="shared" si="7"/>
        <v>-8.1513189882835527E-2</v>
      </c>
      <c r="P97" s="11">
        <f t="shared" si="2"/>
        <v>168.94272659026495</v>
      </c>
      <c r="Q97" s="13">
        <v>1.03</v>
      </c>
      <c r="R97" s="11">
        <f t="shared" si="3"/>
        <v>127.88027821328949</v>
      </c>
      <c r="S97" s="13">
        <v>9.35</v>
      </c>
      <c r="T97" s="11">
        <f t="shared" si="6"/>
        <v>118.23039606839484</v>
      </c>
      <c r="U97" s="13">
        <v>0.46</v>
      </c>
      <c r="V97" s="11">
        <f t="shared" si="4"/>
        <v>137.52381242925557</v>
      </c>
      <c r="W97" s="10">
        <v>10.56</v>
      </c>
      <c r="X97" s="10">
        <v>4.45</v>
      </c>
      <c r="Y97" s="22">
        <v>4.5</v>
      </c>
    </row>
    <row r="98" spans="1:25" x14ac:dyDescent="0.3">
      <c r="A98" s="6">
        <v>39448</v>
      </c>
      <c r="B98" s="7">
        <v>2746.37</v>
      </c>
      <c r="C98" s="8">
        <v>0.54</v>
      </c>
      <c r="D98" s="11">
        <f t="shared" si="5"/>
        <v>134.6418401077247</v>
      </c>
      <c r="E98" s="10">
        <v>0.4</v>
      </c>
      <c r="F98" s="11">
        <f t="shared" si="1"/>
        <v>135.88008926239743</v>
      </c>
      <c r="G98" s="8">
        <v>0.33</v>
      </c>
      <c r="H98" s="8">
        <v>1.02</v>
      </c>
      <c r="I98" s="8">
        <v>1.7743</v>
      </c>
      <c r="J98" s="11">
        <v>92.324333333333328</v>
      </c>
      <c r="K98" s="8">
        <v>89.53</v>
      </c>
      <c r="L98" s="8">
        <v>212.17</v>
      </c>
      <c r="M98" s="8">
        <v>0.93</v>
      </c>
      <c r="N98" s="11">
        <v>2.0955400000000002</v>
      </c>
      <c r="O98" s="11">
        <f t="shared" si="7"/>
        <v>-0.10880250436640854</v>
      </c>
      <c r="P98" s="11">
        <f t="shared" si="2"/>
        <v>168.75891267278985</v>
      </c>
      <c r="Q98" s="13">
        <v>-0.38</v>
      </c>
      <c r="R98" s="11">
        <f t="shared" si="3"/>
        <v>127.39433315607899</v>
      </c>
      <c r="S98" s="13">
        <v>-1.1200000000000001</v>
      </c>
      <c r="T98" s="11">
        <f t="shared" si="6"/>
        <v>116.90621563242881</v>
      </c>
      <c r="U98" s="13">
        <v>0.09</v>
      </c>
      <c r="V98" s="11">
        <f t="shared" si="4"/>
        <v>137.6475838604419</v>
      </c>
      <c r="W98" s="8">
        <v>11.75</v>
      </c>
      <c r="X98" s="8">
        <v>4.4400000000000004</v>
      </c>
      <c r="Y98" s="22">
        <v>4.5</v>
      </c>
    </row>
    <row r="99" spans="1:25" x14ac:dyDescent="0.3">
      <c r="A99" s="6">
        <v>39479</v>
      </c>
      <c r="B99" s="14">
        <v>2759.83</v>
      </c>
      <c r="C99" s="10">
        <v>0.49</v>
      </c>
      <c r="D99" s="11">
        <f t="shared" si="5"/>
        <v>135.30158512425257</v>
      </c>
      <c r="E99" s="8">
        <v>0.06</v>
      </c>
      <c r="F99" s="11">
        <f t="shared" si="1"/>
        <v>135.96161731595487</v>
      </c>
      <c r="G99" s="10">
        <v>0.03</v>
      </c>
      <c r="H99" s="10">
        <v>1.24</v>
      </c>
      <c r="I99" s="10">
        <v>1.7277</v>
      </c>
      <c r="J99" s="11">
        <v>93.99</v>
      </c>
      <c r="K99" s="10">
        <v>89.26</v>
      </c>
      <c r="L99" s="10">
        <v>212.69</v>
      </c>
      <c r="M99" s="10">
        <v>0.8</v>
      </c>
      <c r="N99" s="11">
        <v>2.0947</v>
      </c>
      <c r="O99" s="11">
        <f t="shared" si="7"/>
        <v>-4.0101207810195924E-2</v>
      </c>
      <c r="P99" s="11">
        <f t="shared" si="2"/>
        <v>168.6912383105207</v>
      </c>
      <c r="Q99" s="13">
        <v>-1.42</v>
      </c>
      <c r="R99" s="11">
        <f t="shared" si="3"/>
        <v>125.58533362526266</v>
      </c>
      <c r="S99" s="13">
        <v>-2.31</v>
      </c>
      <c r="T99" s="11">
        <f t="shared" si="6"/>
        <v>114.20568205131971</v>
      </c>
      <c r="U99" s="13">
        <v>0.42</v>
      </c>
      <c r="V99" s="11">
        <f t="shared" si="4"/>
        <v>138.22570371265576</v>
      </c>
      <c r="W99" s="10">
        <v>10.029999999999999</v>
      </c>
      <c r="X99" s="10">
        <v>4.28</v>
      </c>
      <c r="Y99" s="22">
        <v>4.5</v>
      </c>
    </row>
    <row r="100" spans="1:25" x14ac:dyDescent="0.3">
      <c r="A100" s="6">
        <v>39508</v>
      </c>
      <c r="B100" s="7">
        <v>2773.08</v>
      </c>
      <c r="C100" s="8">
        <v>0.48</v>
      </c>
      <c r="D100" s="11">
        <f t="shared" si="5"/>
        <v>135.95103273284897</v>
      </c>
      <c r="E100" s="10">
        <v>0.42</v>
      </c>
      <c r="F100" s="11">
        <f t="shared" si="1"/>
        <v>136.53265610868189</v>
      </c>
      <c r="G100" s="8">
        <v>0.53</v>
      </c>
      <c r="H100" s="8">
        <v>0.44</v>
      </c>
      <c r="I100" s="8">
        <v>1.7076</v>
      </c>
      <c r="J100" s="11">
        <v>103.11</v>
      </c>
      <c r="K100" s="8">
        <v>88.66</v>
      </c>
      <c r="L100" s="8">
        <v>213.45</v>
      </c>
      <c r="M100" s="8">
        <v>0.84</v>
      </c>
      <c r="N100" s="11">
        <v>2.0928399999999998</v>
      </c>
      <c r="O100" s="11">
        <f t="shared" si="7"/>
        <v>-8.8874448118355681E-2</v>
      </c>
      <c r="P100" s="11">
        <f t="shared" si="2"/>
        <v>168.54131490344821</v>
      </c>
      <c r="Q100" s="13">
        <v>0.76</v>
      </c>
      <c r="R100" s="11">
        <f t="shared" si="3"/>
        <v>126.53978216081465</v>
      </c>
      <c r="S100" s="13">
        <v>1.73</v>
      </c>
      <c r="T100" s="11">
        <f t="shared" si="6"/>
        <v>116.18144035080755</v>
      </c>
      <c r="U100" s="13">
        <v>0.19</v>
      </c>
      <c r="V100" s="11">
        <f t="shared" si="4"/>
        <v>138.48833254970981</v>
      </c>
      <c r="W100" s="8">
        <v>10.56</v>
      </c>
      <c r="X100" s="8">
        <v>4.3600000000000003</v>
      </c>
      <c r="Y100" s="22">
        <v>4.5</v>
      </c>
    </row>
    <row r="101" spans="1:25" x14ac:dyDescent="0.3">
      <c r="A101" s="6">
        <v>39539</v>
      </c>
      <c r="B101" s="14">
        <v>2788.33</v>
      </c>
      <c r="C101" s="10">
        <v>0.55000000000000004</v>
      </c>
      <c r="D101" s="11">
        <f t="shared" si="5"/>
        <v>136.69876341287963</v>
      </c>
      <c r="E101" s="8">
        <v>-0.05</v>
      </c>
      <c r="F101" s="11">
        <f t="shared" si="1"/>
        <v>136.46438978062756</v>
      </c>
      <c r="G101" s="10">
        <v>1.04</v>
      </c>
      <c r="H101" s="10">
        <v>0.43</v>
      </c>
      <c r="I101" s="10">
        <v>1.6889000000000001</v>
      </c>
      <c r="J101" s="11">
        <v>108.1163333333333</v>
      </c>
      <c r="K101" s="10">
        <v>89.87</v>
      </c>
      <c r="L101" s="10">
        <v>213.94</v>
      </c>
      <c r="M101" s="10">
        <v>0.9</v>
      </c>
      <c r="N101" s="11">
        <v>2.09178</v>
      </c>
      <c r="O101" s="11">
        <f t="shared" si="7"/>
        <v>-5.067454512424055E-2</v>
      </c>
      <c r="P101" s="11">
        <f t="shared" si="2"/>
        <v>168.45590735877448</v>
      </c>
      <c r="Q101" s="13">
        <v>-0.14000000000000001</v>
      </c>
      <c r="R101" s="11">
        <f t="shared" si="3"/>
        <v>126.36262646578952</v>
      </c>
      <c r="S101" s="13">
        <v>-0.65</v>
      </c>
      <c r="T101" s="11">
        <f t="shared" si="6"/>
        <v>115.4262609885273</v>
      </c>
      <c r="U101" s="13">
        <v>-0.02</v>
      </c>
      <c r="V101" s="11">
        <f t="shared" si="4"/>
        <v>138.46063488319987</v>
      </c>
      <c r="W101" s="10">
        <v>11.35</v>
      </c>
      <c r="X101" s="10">
        <v>4.5599999999999996</v>
      </c>
      <c r="Y101" s="22">
        <v>4.5</v>
      </c>
    </row>
    <row r="102" spans="1:25" x14ac:dyDescent="0.3">
      <c r="A102" s="6">
        <v>39569</v>
      </c>
      <c r="B102" s="7">
        <v>2810.36</v>
      </c>
      <c r="C102" s="8">
        <v>0.79</v>
      </c>
      <c r="D102" s="11">
        <f t="shared" si="5"/>
        <v>137.77868364384139</v>
      </c>
      <c r="E102" s="10">
        <v>0.33</v>
      </c>
      <c r="F102" s="11">
        <f t="shared" si="1"/>
        <v>136.91472226690362</v>
      </c>
      <c r="G102" s="8">
        <v>1.37</v>
      </c>
      <c r="H102" s="8">
        <v>0.69</v>
      </c>
      <c r="I102" s="8">
        <v>1.6605000000000001</v>
      </c>
      <c r="J102" s="11">
        <v>121.5193548387097</v>
      </c>
      <c r="K102" s="8">
        <v>90.78</v>
      </c>
      <c r="L102" s="8">
        <v>215.21</v>
      </c>
      <c r="M102" s="8">
        <v>0.88</v>
      </c>
      <c r="N102" s="11">
        <v>2.0904400000000001</v>
      </c>
      <c r="O102" s="11">
        <f t="shared" si="7"/>
        <v>-6.4101337517455503E-2</v>
      </c>
      <c r="P102" s="11">
        <f t="shared" si="2"/>
        <v>168.34792486903035</v>
      </c>
      <c r="Q102" s="13">
        <v>0.05</v>
      </c>
      <c r="R102" s="11">
        <f t="shared" si="3"/>
        <v>126.42580777902241</v>
      </c>
      <c r="S102" s="13">
        <v>1.1100000000000001</v>
      </c>
      <c r="T102" s="11">
        <f t="shared" si="6"/>
        <v>116.70749248549996</v>
      </c>
      <c r="U102" s="13">
        <v>7.24</v>
      </c>
      <c r="V102" s="11">
        <f t="shared" si="4"/>
        <v>148.48518484874356</v>
      </c>
      <c r="W102" s="8">
        <v>11.09</v>
      </c>
      <c r="X102" s="8">
        <v>5.08</v>
      </c>
      <c r="Y102" s="22">
        <v>4.5</v>
      </c>
    </row>
    <row r="103" spans="1:25" x14ac:dyDescent="0.3">
      <c r="A103" s="6">
        <v>39600</v>
      </c>
      <c r="B103" s="14">
        <v>2831.16</v>
      </c>
      <c r="C103" s="10">
        <v>0.74</v>
      </c>
      <c r="D103" s="11">
        <f t="shared" ref="D103:D166" si="8">D102+D102*(C103/100)</f>
        <v>138.7982459028058</v>
      </c>
      <c r="E103" s="8">
        <v>0.26</v>
      </c>
      <c r="F103" s="11">
        <f t="shared" ref="F103:F166" si="9">F102+F102*(E103/100)</f>
        <v>137.27070054479756</v>
      </c>
      <c r="G103" s="10">
        <v>1.19</v>
      </c>
      <c r="H103" s="10">
        <v>0.75</v>
      </c>
      <c r="I103" s="10">
        <v>1.6189</v>
      </c>
      <c r="J103" s="11">
        <v>130.90600000000001</v>
      </c>
      <c r="K103" s="10">
        <v>91.72</v>
      </c>
      <c r="L103" s="10">
        <v>217.46</v>
      </c>
      <c r="M103" s="10">
        <v>0.96</v>
      </c>
      <c r="N103" s="11">
        <v>2.0894400000000002</v>
      </c>
      <c r="O103" s="11">
        <f t="shared" si="7"/>
        <v>-4.7859713607468497E-2</v>
      </c>
      <c r="P103" s="11">
        <f t="shared" ref="P103:P166" si="10">P102+P102*(O103/100)</f>
        <v>168.26735403432392</v>
      </c>
      <c r="Q103" s="13">
        <v>-0.08</v>
      </c>
      <c r="R103" s="11">
        <f t="shared" ref="R103:R166" si="11">R102+R102*(Q103/100)</f>
        <v>126.32466713279919</v>
      </c>
      <c r="S103" s="13">
        <v>-1.94</v>
      </c>
      <c r="T103" s="11">
        <f t="shared" si="6"/>
        <v>114.44336713128125</v>
      </c>
      <c r="U103" s="13">
        <v>1.53</v>
      </c>
      <c r="V103" s="11">
        <f t="shared" ref="V103:V166" si="12">V102+V102*(U103/100)</f>
        <v>150.75700817692933</v>
      </c>
      <c r="W103" s="10">
        <v>12.15</v>
      </c>
      <c r="X103" s="10">
        <v>5.6</v>
      </c>
      <c r="Y103" s="22">
        <v>4.5</v>
      </c>
    </row>
    <row r="104" spans="1:25" x14ac:dyDescent="0.3">
      <c r="A104" s="6">
        <v>39630</v>
      </c>
      <c r="B104" s="7">
        <v>2846.16</v>
      </c>
      <c r="C104" s="8">
        <v>0.53</v>
      </c>
      <c r="D104" s="11">
        <f t="shared" si="8"/>
        <v>139.53387660609067</v>
      </c>
      <c r="E104" s="10">
        <v>0.46</v>
      </c>
      <c r="F104" s="11">
        <f t="shared" si="9"/>
        <v>137.90214576730364</v>
      </c>
      <c r="G104" s="8">
        <v>0.48</v>
      </c>
      <c r="H104" s="8">
        <v>0.52</v>
      </c>
      <c r="I104" s="8">
        <v>1.5913999999999999</v>
      </c>
      <c r="J104" s="11">
        <v>134.03096774193551</v>
      </c>
      <c r="K104" s="8">
        <v>91.63</v>
      </c>
      <c r="L104" s="8">
        <v>219.02</v>
      </c>
      <c r="M104" s="8">
        <v>1.07</v>
      </c>
      <c r="N104" s="11">
        <v>2.1102099999999999</v>
      </c>
      <c r="O104" s="11">
        <f t="shared" si="7"/>
        <v>0.98426222982545497</v>
      </c>
      <c r="P104" s="11">
        <f t="shared" si="10"/>
        <v>169.92354604521046</v>
      </c>
      <c r="Q104" s="13">
        <v>0.59</v>
      </c>
      <c r="R104" s="11">
        <f t="shared" si="11"/>
        <v>127.0699826688827</v>
      </c>
      <c r="S104" s="13">
        <v>1.89</v>
      </c>
      <c r="T104" s="11">
        <f t="shared" ref="T104:T167" si="13">T103+T103*(S104/100)</f>
        <v>116.60634677006246</v>
      </c>
      <c r="U104" s="13">
        <v>2.15</v>
      </c>
      <c r="V104" s="11">
        <f t="shared" si="12"/>
        <v>153.99828385273332</v>
      </c>
      <c r="W104" s="8">
        <v>13.62</v>
      </c>
      <c r="X104" s="8">
        <v>5.49</v>
      </c>
      <c r="Y104" s="22">
        <v>4.5</v>
      </c>
    </row>
    <row r="105" spans="1:25" x14ac:dyDescent="0.3">
      <c r="A105" s="6">
        <v>39661</v>
      </c>
      <c r="B105" s="14">
        <v>2854.13</v>
      </c>
      <c r="C105" s="10">
        <v>0.28000000000000003</v>
      </c>
      <c r="D105" s="11">
        <f t="shared" si="8"/>
        <v>139.92457146058771</v>
      </c>
      <c r="E105" s="8">
        <v>0.06</v>
      </c>
      <c r="F105" s="11">
        <f t="shared" si="9"/>
        <v>137.98488705476402</v>
      </c>
      <c r="G105" s="10">
        <v>0.19</v>
      </c>
      <c r="H105" s="10">
        <v>0.31</v>
      </c>
      <c r="I105" s="10">
        <v>1.6123000000000001</v>
      </c>
      <c r="J105" s="11">
        <v>114.6948387096774</v>
      </c>
      <c r="K105" s="10">
        <v>91.84</v>
      </c>
      <c r="L105" s="10">
        <v>218.69</v>
      </c>
      <c r="M105" s="10">
        <v>1.02</v>
      </c>
      <c r="N105" s="11">
        <v>2.1268799999999999</v>
      </c>
      <c r="O105" s="11">
        <f t="shared" si="7"/>
        <v>0.78377717595726892</v>
      </c>
      <c r="P105" s="11">
        <f t="shared" si="10"/>
        <v>171.25536801569007</v>
      </c>
      <c r="Q105" s="13">
        <v>-0.25</v>
      </c>
      <c r="R105" s="11">
        <f t="shared" si="11"/>
        <v>126.7523077122105</v>
      </c>
      <c r="S105" s="13">
        <v>0.43</v>
      </c>
      <c r="T105" s="11">
        <f t="shared" si="13"/>
        <v>117.10775406117372</v>
      </c>
      <c r="U105" s="13">
        <v>0.21</v>
      </c>
      <c r="V105" s="11">
        <f t="shared" si="12"/>
        <v>154.32168024882407</v>
      </c>
      <c r="W105" s="10">
        <v>12.95</v>
      </c>
      <c r="X105" s="10">
        <v>5.16</v>
      </c>
      <c r="Y105" s="22">
        <v>4.5</v>
      </c>
    </row>
    <row r="106" spans="1:25" x14ac:dyDescent="0.3">
      <c r="A106" s="6">
        <v>39692</v>
      </c>
      <c r="B106" s="7">
        <v>2861.55</v>
      </c>
      <c r="C106" s="8">
        <v>0.26</v>
      </c>
      <c r="D106" s="11">
        <f t="shared" si="8"/>
        <v>140.28837534638524</v>
      </c>
      <c r="E106" s="10">
        <v>0.39</v>
      </c>
      <c r="F106" s="11">
        <f t="shared" si="9"/>
        <v>138.52302811427759</v>
      </c>
      <c r="G106" s="8">
        <v>0.22</v>
      </c>
      <c r="H106" s="8">
        <v>0.37</v>
      </c>
      <c r="I106" s="8">
        <v>1.7996000000000001</v>
      </c>
      <c r="J106" s="11">
        <v>98.693666666666658</v>
      </c>
      <c r="K106" s="8">
        <v>91.75</v>
      </c>
      <c r="L106" s="8">
        <v>218.88</v>
      </c>
      <c r="M106" s="8">
        <v>1.1000000000000001</v>
      </c>
      <c r="N106" s="11">
        <v>2.1392699999999998</v>
      </c>
      <c r="O106" s="11">
        <f t="shared" si="7"/>
        <v>0.57916952979286873</v>
      </c>
      <c r="P106" s="11">
        <f t="shared" si="10"/>
        <v>172.24722692537159</v>
      </c>
      <c r="Q106" s="13">
        <v>0.69</v>
      </c>
      <c r="R106" s="11">
        <f t="shared" si="11"/>
        <v>127.62689863542475</v>
      </c>
      <c r="S106" s="13">
        <v>1.2</v>
      </c>
      <c r="T106" s="11">
        <f t="shared" si="13"/>
        <v>118.5130471099078</v>
      </c>
      <c r="U106" s="13">
        <v>-0.19</v>
      </c>
      <c r="V106" s="11">
        <f t="shared" si="12"/>
        <v>154.0284690563513</v>
      </c>
      <c r="W106" s="8">
        <v>14.03</v>
      </c>
      <c r="X106" s="8">
        <v>5.01</v>
      </c>
      <c r="Y106" s="22">
        <v>4.5</v>
      </c>
    </row>
    <row r="107" spans="1:25" x14ac:dyDescent="0.3">
      <c r="A107" s="6">
        <v>39722</v>
      </c>
      <c r="B107" s="14">
        <v>2874.43</v>
      </c>
      <c r="C107" s="10">
        <v>0.45</v>
      </c>
      <c r="D107" s="11">
        <f t="shared" si="8"/>
        <v>140.91967303544396</v>
      </c>
      <c r="E107" s="8">
        <v>0.02</v>
      </c>
      <c r="F107" s="11">
        <f t="shared" si="9"/>
        <v>138.55073271990045</v>
      </c>
      <c r="G107" s="10">
        <v>0.62</v>
      </c>
      <c r="H107" s="10">
        <v>0.46</v>
      </c>
      <c r="I107" s="10">
        <v>2.1728999999999998</v>
      </c>
      <c r="J107" s="11">
        <v>74.821612903225798</v>
      </c>
      <c r="K107" s="10">
        <v>89.95</v>
      </c>
      <c r="L107" s="10">
        <v>217</v>
      </c>
      <c r="M107" s="10">
        <v>1.18</v>
      </c>
      <c r="N107" s="11">
        <v>2.1533199999999999</v>
      </c>
      <c r="O107" s="11">
        <f t="shared" si="7"/>
        <v>0.65248082031468235</v>
      </c>
      <c r="P107" s="11">
        <f t="shared" si="10"/>
        <v>173.37110704458354</v>
      </c>
      <c r="Q107" s="13">
        <v>-0.18</v>
      </c>
      <c r="R107" s="11">
        <f t="shared" si="11"/>
        <v>127.39717021788098</v>
      </c>
      <c r="S107" s="13">
        <v>1.08</v>
      </c>
      <c r="T107" s="11">
        <f t="shared" si="13"/>
        <v>119.7929880186948</v>
      </c>
      <c r="U107" s="13">
        <v>0.94</v>
      </c>
      <c r="V107" s="11">
        <f t="shared" si="12"/>
        <v>155.476336665481</v>
      </c>
      <c r="W107" s="10">
        <v>15.12</v>
      </c>
      <c r="X107" s="10">
        <v>5.4</v>
      </c>
      <c r="Y107" s="22">
        <v>4.5</v>
      </c>
    </row>
    <row r="108" spans="1:25" x14ac:dyDescent="0.3">
      <c r="A108" s="6">
        <v>39753</v>
      </c>
      <c r="B108" s="7">
        <v>2884.78</v>
      </c>
      <c r="C108" s="8">
        <v>0.36</v>
      </c>
      <c r="D108" s="11">
        <f t="shared" si="8"/>
        <v>141.42698385837156</v>
      </c>
      <c r="E108" s="10">
        <v>-0.02</v>
      </c>
      <c r="F108" s="11">
        <f t="shared" si="9"/>
        <v>138.52302257335649</v>
      </c>
      <c r="G108" s="8">
        <v>0.6</v>
      </c>
      <c r="H108" s="8">
        <v>0.28000000000000003</v>
      </c>
      <c r="I108" s="8">
        <v>2.2663000000000002</v>
      </c>
      <c r="J108" s="11">
        <v>53.695517241379306</v>
      </c>
      <c r="K108" s="8">
        <v>87.75</v>
      </c>
      <c r="L108" s="8">
        <v>213.15</v>
      </c>
      <c r="M108" s="8">
        <v>1.02</v>
      </c>
      <c r="N108" s="11">
        <v>2.1627999999999998</v>
      </c>
      <c r="O108" s="11">
        <f t="shared" si="7"/>
        <v>0.43832069539485546</v>
      </c>
      <c r="P108" s="11">
        <f t="shared" si="10"/>
        <v>174.13102848659511</v>
      </c>
      <c r="Q108" s="13">
        <v>0.21</v>
      </c>
      <c r="R108" s="11">
        <f t="shared" si="11"/>
        <v>127.66470427533854</v>
      </c>
      <c r="S108" s="13">
        <v>-0.21</v>
      </c>
      <c r="T108" s="11">
        <f t="shared" si="13"/>
        <v>119.54142274385553</v>
      </c>
      <c r="U108" s="13">
        <v>0.12</v>
      </c>
      <c r="V108" s="11">
        <f t="shared" si="12"/>
        <v>155.66290826947957</v>
      </c>
      <c r="W108" s="8">
        <v>12.95</v>
      </c>
      <c r="X108" s="8">
        <v>5.45</v>
      </c>
      <c r="Y108" s="22">
        <v>4.5</v>
      </c>
    </row>
    <row r="109" spans="1:25" x14ac:dyDescent="0.3">
      <c r="A109" s="6">
        <v>39783</v>
      </c>
      <c r="B109" s="14">
        <v>2892.86</v>
      </c>
      <c r="C109" s="10">
        <v>0.28000000000000003</v>
      </c>
      <c r="D109" s="11">
        <f t="shared" si="8"/>
        <v>141.82297941317501</v>
      </c>
      <c r="E109" s="8">
        <v>-0.03</v>
      </c>
      <c r="F109" s="11">
        <f t="shared" si="9"/>
        <v>138.48146566658448</v>
      </c>
      <c r="G109" s="10">
        <v>0.17</v>
      </c>
      <c r="H109" s="10">
        <v>0.37</v>
      </c>
      <c r="I109" s="10">
        <v>2.3944000000000001</v>
      </c>
      <c r="J109" s="11">
        <v>40.882333333333342</v>
      </c>
      <c r="K109" s="10">
        <v>85.32</v>
      </c>
      <c r="L109" s="10">
        <v>211.4</v>
      </c>
      <c r="M109" s="10">
        <v>1.1200000000000001</v>
      </c>
      <c r="N109" s="11">
        <v>2.1677200000000001</v>
      </c>
      <c r="O109" s="11">
        <f t="shared" si="7"/>
        <v>0.22696658239995279</v>
      </c>
      <c r="P109" s="11">
        <f t="shared" si="10"/>
        <v>174.52624773084904</v>
      </c>
      <c r="Q109" s="13">
        <v>-0.09</v>
      </c>
      <c r="R109" s="11">
        <f t="shared" si="11"/>
        <v>127.54980604149073</v>
      </c>
      <c r="S109" s="13">
        <v>-0.04</v>
      </c>
      <c r="T109" s="11">
        <f t="shared" si="13"/>
        <v>119.49360617475799</v>
      </c>
      <c r="U109" s="13">
        <v>-0.21</v>
      </c>
      <c r="V109" s="11">
        <f t="shared" si="12"/>
        <v>155.33601616211368</v>
      </c>
      <c r="W109" s="10">
        <v>14.3</v>
      </c>
      <c r="X109" s="10">
        <v>4.93</v>
      </c>
      <c r="Y109" s="22">
        <v>4.5</v>
      </c>
    </row>
    <row r="110" spans="1:25" x14ac:dyDescent="0.3">
      <c r="A110" s="6">
        <v>39814</v>
      </c>
      <c r="B110" s="7">
        <v>2906.74</v>
      </c>
      <c r="C110" s="8">
        <v>0.48</v>
      </c>
      <c r="D110" s="11">
        <f t="shared" si="8"/>
        <v>142.50372971435826</v>
      </c>
      <c r="E110" s="10">
        <v>0.35</v>
      </c>
      <c r="F110" s="11">
        <f t="shared" si="9"/>
        <v>138.96615079641754</v>
      </c>
      <c r="G110" s="8">
        <v>0</v>
      </c>
      <c r="H110" s="8">
        <v>0.71</v>
      </c>
      <c r="I110" s="8">
        <v>2.3073999999999999</v>
      </c>
      <c r="J110" s="11">
        <v>42.495666666666658</v>
      </c>
      <c r="K110" s="8">
        <v>85.18</v>
      </c>
      <c r="L110" s="8">
        <v>211.93</v>
      </c>
      <c r="M110" s="8">
        <v>1.05</v>
      </c>
      <c r="N110" s="11">
        <v>2.1643300000000001</v>
      </c>
      <c r="O110" s="11">
        <f t="shared" si="7"/>
        <v>-0.15663045838666026</v>
      </c>
      <c r="P110" s="11">
        <f t="shared" si="10"/>
        <v>174.25288646902317</v>
      </c>
      <c r="Q110" s="13">
        <v>0.42</v>
      </c>
      <c r="R110" s="11">
        <f t="shared" si="11"/>
        <v>128.085515226865</v>
      </c>
      <c r="S110" s="13">
        <v>0.71</v>
      </c>
      <c r="T110" s="11">
        <f t="shared" si="13"/>
        <v>120.34201077859876</v>
      </c>
      <c r="U110" s="13">
        <v>0.33</v>
      </c>
      <c r="V110" s="11">
        <f t="shared" si="12"/>
        <v>155.84862501544865</v>
      </c>
      <c r="W110" s="8">
        <v>13.35</v>
      </c>
      <c r="X110" s="8">
        <v>4.7</v>
      </c>
      <c r="Y110" s="20">
        <v>4.5</v>
      </c>
    </row>
    <row r="111" spans="1:25" x14ac:dyDescent="0.3">
      <c r="A111" s="6">
        <v>39845</v>
      </c>
      <c r="B111" s="14">
        <v>2922.73</v>
      </c>
      <c r="C111" s="10">
        <v>0.55000000000000004</v>
      </c>
      <c r="D111" s="11">
        <f t="shared" si="8"/>
        <v>143.28750022778723</v>
      </c>
      <c r="E111" s="8">
        <v>0.24</v>
      </c>
      <c r="F111" s="11">
        <f t="shared" si="9"/>
        <v>139.29966955832893</v>
      </c>
      <c r="G111" s="10">
        <v>-0.09</v>
      </c>
      <c r="H111" s="10">
        <v>1.36</v>
      </c>
      <c r="I111" s="10">
        <v>2.3127</v>
      </c>
      <c r="J111" s="11">
        <v>43.283214285714287</v>
      </c>
      <c r="K111" s="10">
        <v>85.88</v>
      </c>
      <c r="L111" s="10">
        <v>212.71</v>
      </c>
      <c r="M111" s="10">
        <v>0.86</v>
      </c>
      <c r="N111" s="11">
        <v>2.1611899999999999</v>
      </c>
      <c r="O111" s="11">
        <f t="shared" si="7"/>
        <v>-0.1452903261629076</v>
      </c>
      <c r="P111" s="11">
        <f t="shared" si="10"/>
        <v>173.99971388192404</v>
      </c>
      <c r="Q111" s="13">
        <v>-0.04</v>
      </c>
      <c r="R111" s="11">
        <f t="shared" si="11"/>
        <v>128.03428102077424</v>
      </c>
      <c r="S111" s="13">
        <v>1.23</v>
      </c>
      <c r="T111" s="11">
        <f t="shared" si="13"/>
        <v>121.82221751117552</v>
      </c>
      <c r="U111" s="13">
        <v>-0.34</v>
      </c>
      <c r="V111" s="11">
        <f t="shared" si="12"/>
        <v>155.31873969039611</v>
      </c>
      <c r="W111" s="10">
        <v>10.82</v>
      </c>
      <c r="X111" s="10">
        <v>4.57</v>
      </c>
      <c r="Y111" s="20">
        <v>4.5</v>
      </c>
    </row>
    <row r="112" spans="1:25" x14ac:dyDescent="0.3">
      <c r="A112" s="6">
        <v>39873</v>
      </c>
      <c r="B112" s="7">
        <v>2928.57</v>
      </c>
      <c r="C112" s="8">
        <v>0.2</v>
      </c>
      <c r="D112" s="11">
        <f t="shared" si="8"/>
        <v>143.5740752282428</v>
      </c>
      <c r="E112" s="10">
        <v>-7.0000000000000007E-2</v>
      </c>
      <c r="F112" s="11">
        <f t="shared" si="9"/>
        <v>139.2021597896381</v>
      </c>
      <c r="G112" s="8">
        <v>0.14000000000000001</v>
      </c>
      <c r="H112" s="8">
        <v>0.3</v>
      </c>
      <c r="I112" s="8">
        <v>2.3138000000000001</v>
      </c>
      <c r="J112" s="11">
        <v>46.230645161290333</v>
      </c>
      <c r="K112" s="8">
        <v>86.33</v>
      </c>
      <c r="L112" s="8">
        <v>212.5</v>
      </c>
      <c r="M112" s="8">
        <v>0.97</v>
      </c>
      <c r="N112" s="11">
        <v>2.1591100000000001</v>
      </c>
      <c r="O112" s="11">
        <f t="shared" si="7"/>
        <v>-9.6335990292289869E-2</v>
      </c>
      <c r="P112" s="11">
        <f t="shared" si="10"/>
        <v>173.83208953445015</v>
      </c>
      <c r="Q112" s="13">
        <v>-0.34</v>
      </c>
      <c r="R112" s="11">
        <f t="shared" si="11"/>
        <v>127.59896446530361</v>
      </c>
      <c r="S112" s="13">
        <v>-1.23</v>
      </c>
      <c r="T112" s="11">
        <f t="shared" si="13"/>
        <v>120.32380423578806</v>
      </c>
      <c r="U112" s="13">
        <v>-0.03</v>
      </c>
      <c r="V112" s="11">
        <f t="shared" si="12"/>
        <v>155.27214406848898</v>
      </c>
      <c r="W112" s="8">
        <v>12.28</v>
      </c>
      <c r="X112" s="8">
        <v>4.1399999999999997</v>
      </c>
      <c r="Y112" s="20">
        <v>4.5</v>
      </c>
    </row>
    <row r="113" spans="1:25" x14ac:dyDescent="0.3">
      <c r="A113" s="6">
        <v>39904</v>
      </c>
      <c r="B113" s="14">
        <v>2942.63</v>
      </c>
      <c r="C113" s="10">
        <v>0.48</v>
      </c>
      <c r="D113" s="11">
        <f t="shared" si="8"/>
        <v>144.26323078933837</v>
      </c>
      <c r="E113" s="8">
        <v>-0.21</v>
      </c>
      <c r="F113" s="11">
        <f t="shared" si="9"/>
        <v>138.90983525407987</v>
      </c>
      <c r="G113" s="10">
        <v>0.49</v>
      </c>
      <c r="H113" s="10">
        <v>0.45</v>
      </c>
      <c r="I113" s="10">
        <v>2.2059000000000002</v>
      </c>
      <c r="J113" s="11">
        <v>50.162666666666667</v>
      </c>
      <c r="K113" s="10">
        <v>86.7</v>
      </c>
      <c r="L113" s="10">
        <v>212.71</v>
      </c>
      <c r="M113" s="10">
        <v>0.84</v>
      </c>
      <c r="N113" s="11">
        <v>2.1567400000000001</v>
      </c>
      <c r="O113" s="11">
        <f t="shared" si="7"/>
        <v>-0.10988807181208599</v>
      </c>
      <c r="P113" s="11">
        <f t="shared" si="10"/>
        <v>173.64106880307008</v>
      </c>
      <c r="Q113" s="13">
        <v>-0.46</v>
      </c>
      <c r="R113" s="11">
        <f t="shared" si="11"/>
        <v>127.01200922876322</v>
      </c>
      <c r="S113" s="13">
        <v>-3.02</v>
      </c>
      <c r="T113" s="11">
        <f t="shared" si="13"/>
        <v>116.69002534786726</v>
      </c>
      <c r="U113" s="13">
        <v>0.35</v>
      </c>
      <c r="V113" s="11">
        <f t="shared" si="12"/>
        <v>155.81559657272871</v>
      </c>
      <c r="W113" s="10">
        <v>10.56</v>
      </c>
      <c r="X113" s="10">
        <v>4.21</v>
      </c>
      <c r="Y113" s="20">
        <v>4.5</v>
      </c>
    </row>
    <row r="114" spans="1:25" x14ac:dyDescent="0.3">
      <c r="A114" s="6">
        <v>39934</v>
      </c>
      <c r="B114" s="7">
        <v>2956.46</v>
      </c>
      <c r="C114" s="8">
        <v>0.47</v>
      </c>
      <c r="D114" s="11">
        <f t="shared" si="8"/>
        <v>144.94126797404826</v>
      </c>
      <c r="E114" s="10">
        <v>-0.18</v>
      </c>
      <c r="F114" s="11">
        <f t="shared" si="9"/>
        <v>138.65979755062253</v>
      </c>
      <c r="G114" s="8">
        <v>0.84</v>
      </c>
      <c r="H114" s="8">
        <v>0.27</v>
      </c>
      <c r="I114" s="8">
        <v>2.0609000000000002</v>
      </c>
      <c r="J114" s="11">
        <v>56.357096774193543</v>
      </c>
      <c r="K114" s="8">
        <v>87.57</v>
      </c>
      <c r="L114" s="8">
        <v>213.02</v>
      </c>
      <c r="M114" s="8">
        <v>0.77</v>
      </c>
      <c r="N114" s="11">
        <v>2.1583600000000001</v>
      </c>
      <c r="O114" s="11">
        <f t="shared" si="7"/>
        <v>7.505698771289103E-2</v>
      </c>
      <c r="P114" s="11">
        <f t="shared" si="10"/>
        <v>173.77139855874614</v>
      </c>
      <c r="Q114" s="13">
        <v>-0.9</v>
      </c>
      <c r="R114" s="11">
        <f t="shared" si="11"/>
        <v>125.86890114570436</v>
      </c>
      <c r="S114" s="13">
        <v>-3.79</v>
      </c>
      <c r="T114" s="11">
        <f t="shared" si="13"/>
        <v>112.26747338718309</v>
      </c>
      <c r="U114" s="13">
        <v>-0.23</v>
      </c>
      <c r="V114" s="11">
        <f t="shared" si="12"/>
        <v>155.45722070061143</v>
      </c>
      <c r="W114" s="8">
        <v>9.64</v>
      </c>
      <c r="X114" s="8">
        <v>4.1399999999999997</v>
      </c>
      <c r="Y114" s="20">
        <v>4.5</v>
      </c>
    </row>
    <row r="115" spans="1:25" x14ac:dyDescent="0.3">
      <c r="A115" s="6">
        <v>39965</v>
      </c>
      <c r="B115" s="14">
        <v>2967.1</v>
      </c>
      <c r="C115" s="10">
        <v>0.36</v>
      </c>
      <c r="D115" s="11">
        <f t="shared" si="8"/>
        <v>145.46305653875484</v>
      </c>
      <c r="E115" s="8">
        <v>0.02</v>
      </c>
      <c r="F115" s="11">
        <f t="shared" si="9"/>
        <v>138.68752951013266</v>
      </c>
      <c r="G115" s="10">
        <v>0.69</v>
      </c>
      <c r="H115" s="10">
        <v>0.16</v>
      </c>
      <c r="I115" s="10">
        <v>1.9576</v>
      </c>
      <c r="J115" s="11">
        <v>68.408666666666662</v>
      </c>
      <c r="K115" s="10">
        <v>88.18</v>
      </c>
      <c r="L115" s="10">
        <v>214.79</v>
      </c>
      <c r="M115" s="10">
        <v>0.76</v>
      </c>
      <c r="N115" s="11">
        <v>2.1585999999999999</v>
      </c>
      <c r="O115" s="11">
        <f t="shared" si="7"/>
        <v>1.1118317427953115E-2</v>
      </c>
      <c r="P115" s="11">
        <f t="shared" si="10"/>
        <v>173.79071901443689</v>
      </c>
      <c r="Q115" s="13">
        <v>0.52</v>
      </c>
      <c r="R115" s="11">
        <f t="shared" si="11"/>
        <v>126.52341943166202</v>
      </c>
      <c r="S115" s="13">
        <v>-2.02</v>
      </c>
      <c r="T115" s="11">
        <f t="shared" si="13"/>
        <v>109.99967042476199</v>
      </c>
      <c r="U115" s="13">
        <v>-2.0499999999999998</v>
      </c>
      <c r="V115" s="11">
        <f t="shared" si="12"/>
        <v>152.27034767624889</v>
      </c>
      <c r="W115" s="10">
        <v>9.51</v>
      </c>
      <c r="X115" s="10">
        <v>4.0599999999999996</v>
      </c>
      <c r="Y115" s="20">
        <v>4.5</v>
      </c>
    </row>
    <row r="116" spans="1:25" x14ac:dyDescent="0.3">
      <c r="A116" s="6">
        <v>39995</v>
      </c>
      <c r="B116" s="7">
        <v>2974.22</v>
      </c>
      <c r="C116" s="8">
        <v>0.24</v>
      </c>
      <c r="D116" s="11">
        <f t="shared" si="8"/>
        <v>145.81216787444785</v>
      </c>
      <c r="E116" s="10">
        <v>0.14000000000000001</v>
      </c>
      <c r="F116" s="11">
        <f t="shared" si="9"/>
        <v>138.88169205144686</v>
      </c>
      <c r="G116" s="8">
        <v>0.17</v>
      </c>
      <c r="H116" s="8">
        <v>0.04</v>
      </c>
      <c r="I116" s="8">
        <v>1.9328000000000001</v>
      </c>
      <c r="J116" s="11">
        <v>64.135483870967747</v>
      </c>
      <c r="K116" s="8">
        <v>88.31</v>
      </c>
      <c r="L116" s="8">
        <v>214.73</v>
      </c>
      <c r="M116" s="8">
        <v>0.79</v>
      </c>
      <c r="N116" s="11">
        <v>2.1586099999999999</v>
      </c>
      <c r="O116" s="11">
        <f t="shared" si="7"/>
        <v>4.6326108004991697E-4</v>
      </c>
      <c r="P116" s="11">
        <f t="shared" si="10"/>
        <v>173.79152411919881</v>
      </c>
      <c r="Q116" s="13">
        <v>0.68</v>
      </c>
      <c r="R116" s="11">
        <f t="shared" si="11"/>
        <v>127.38377868379732</v>
      </c>
      <c r="S116" s="13">
        <v>2.4700000000000002</v>
      </c>
      <c r="T116" s="11">
        <f t="shared" si="13"/>
        <v>112.71666228425362</v>
      </c>
      <c r="U116" s="13">
        <v>-3.19</v>
      </c>
      <c r="V116" s="11">
        <f t="shared" si="12"/>
        <v>147.41292358537655</v>
      </c>
      <c r="W116" s="8">
        <v>9.9</v>
      </c>
      <c r="X116" s="8">
        <v>4.09</v>
      </c>
      <c r="Y116" s="20">
        <v>4.5</v>
      </c>
    </row>
    <row r="117" spans="1:25" x14ac:dyDescent="0.3">
      <c r="A117" s="6">
        <v>40026</v>
      </c>
      <c r="B117" s="14">
        <v>2978.68</v>
      </c>
      <c r="C117" s="10">
        <v>0.15</v>
      </c>
      <c r="D117" s="11">
        <f t="shared" si="8"/>
        <v>146.03088612625953</v>
      </c>
      <c r="E117" s="8">
        <v>-0.11</v>
      </c>
      <c r="F117" s="11">
        <f t="shared" si="9"/>
        <v>138.72892219019027</v>
      </c>
      <c r="G117" s="10">
        <v>-0.31</v>
      </c>
      <c r="H117" s="10">
        <v>0.56000000000000005</v>
      </c>
      <c r="I117" s="10">
        <v>1.8452</v>
      </c>
      <c r="J117" s="11">
        <v>72.220967741935482</v>
      </c>
      <c r="K117" s="10">
        <v>89.74</v>
      </c>
      <c r="L117" s="10">
        <v>215.45</v>
      </c>
      <c r="M117" s="10">
        <v>0.69</v>
      </c>
      <c r="N117" s="11">
        <v>2.15584</v>
      </c>
      <c r="O117" s="11">
        <f t="shared" si="7"/>
        <v>-0.12848819949532153</v>
      </c>
      <c r="P117" s="11">
        <f t="shared" si="10"/>
        <v>173.56822251898257</v>
      </c>
      <c r="Q117" s="13">
        <v>0.16</v>
      </c>
      <c r="R117" s="11">
        <f t="shared" si="11"/>
        <v>127.58759272969139</v>
      </c>
      <c r="S117" s="13">
        <v>1.44</v>
      </c>
      <c r="T117" s="11">
        <f t="shared" si="13"/>
        <v>114.33978222114686</v>
      </c>
      <c r="U117" s="13">
        <v>-0.02</v>
      </c>
      <c r="V117" s="11">
        <f t="shared" si="12"/>
        <v>147.38344100065947</v>
      </c>
      <c r="W117" s="10">
        <v>8.6</v>
      </c>
      <c r="X117" s="10">
        <v>3.97</v>
      </c>
      <c r="Y117" s="20">
        <v>4.5</v>
      </c>
    </row>
    <row r="118" spans="1:25" x14ac:dyDescent="0.3">
      <c r="A118" s="6">
        <v>40057</v>
      </c>
      <c r="B118" s="7">
        <v>2985.83</v>
      </c>
      <c r="C118" s="8">
        <v>0.24</v>
      </c>
      <c r="D118" s="11">
        <f t="shared" si="8"/>
        <v>146.38136025296257</v>
      </c>
      <c r="E118" s="10">
        <v>0.27</v>
      </c>
      <c r="F118" s="11">
        <f t="shared" si="9"/>
        <v>139.10349028010378</v>
      </c>
      <c r="G118" s="8">
        <v>0.01</v>
      </c>
      <c r="H118" s="8">
        <v>0.34</v>
      </c>
      <c r="I118" s="8">
        <v>1.8198000000000001</v>
      </c>
      <c r="J118" s="11">
        <v>68.222666666666669</v>
      </c>
      <c r="K118" s="8">
        <v>90.47</v>
      </c>
      <c r="L118" s="8">
        <v>215.86</v>
      </c>
      <c r="M118" s="8">
        <v>0.69</v>
      </c>
      <c r="N118" s="11">
        <v>2.1552799999999999</v>
      </c>
      <c r="O118" s="11">
        <f t="shared" si="7"/>
        <v>-2.5982702943474444E-2</v>
      </c>
      <c r="P118" s="11">
        <f t="shared" si="10"/>
        <v>173.5231248033212</v>
      </c>
      <c r="Q118" s="13">
        <v>-0.02</v>
      </c>
      <c r="R118" s="11">
        <f t="shared" si="11"/>
        <v>127.56207521114546</v>
      </c>
      <c r="S118" s="13">
        <v>2.31</v>
      </c>
      <c r="T118" s="11">
        <f t="shared" si="13"/>
        <v>116.98103119045535</v>
      </c>
      <c r="U118" s="13">
        <v>-0.25</v>
      </c>
      <c r="V118" s="11">
        <f t="shared" si="12"/>
        <v>147.01498239815783</v>
      </c>
      <c r="W118" s="8">
        <v>8.6</v>
      </c>
      <c r="X118" s="8">
        <v>4.1900000000000004</v>
      </c>
      <c r="Y118" s="20">
        <v>4.5</v>
      </c>
    </row>
    <row r="119" spans="1:25" x14ac:dyDescent="0.3">
      <c r="A119" s="6">
        <v>40087</v>
      </c>
      <c r="B119" s="14">
        <v>2994.19</v>
      </c>
      <c r="C119" s="10">
        <v>0.28000000000000003</v>
      </c>
      <c r="D119" s="11">
        <f t="shared" si="8"/>
        <v>146.79122806167086</v>
      </c>
      <c r="E119" s="8">
        <v>0.51</v>
      </c>
      <c r="F119" s="11">
        <f t="shared" si="9"/>
        <v>139.81291808053231</v>
      </c>
      <c r="G119" s="10">
        <v>0.28000000000000003</v>
      </c>
      <c r="H119" s="10">
        <v>0.17</v>
      </c>
      <c r="I119" s="10">
        <v>1.7383999999999999</v>
      </c>
      <c r="J119" s="11">
        <v>71.823870967741939</v>
      </c>
      <c r="K119" s="10">
        <v>91.2</v>
      </c>
      <c r="L119" s="10">
        <v>216.51</v>
      </c>
      <c r="M119" s="10">
        <v>0.69</v>
      </c>
      <c r="N119" s="11">
        <v>2.1558799999999998</v>
      </c>
      <c r="O119" s="11">
        <f t="shared" si="7"/>
        <v>2.7830862571197563E-2</v>
      </c>
      <c r="P119" s="11">
        <f t="shared" si="10"/>
        <v>173.57141778571446</v>
      </c>
      <c r="Q119" s="13">
        <v>1.06</v>
      </c>
      <c r="R119" s="11">
        <f t="shared" si="11"/>
        <v>128.91423320838359</v>
      </c>
      <c r="S119" s="13">
        <v>10.61</v>
      </c>
      <c r="T119" s="11">
        <f t="shared" si="13"/>
        <v>129.39271859976267</v>
      </c>
      <c r="U119" s="13">
        <v>0.23</v>
      </c>
      <c r="V119" s="11">
        <f t="shared" si="12"/>
        <v>147.3531168576736</v>
      </c>
      <c r="W119" s="10">
        <v>8.6</v>
      </c>
      <c r="X119" s="10">
        <v>4.32</v>
      </c>
      <c r="Y119" s="20">
        <v>4.5</v>
      </c>
    </row>
    <row r="120" spans="1:25" x14ac:dyDescent="0.3">
      <c r="A120" s="6">
        <v>40118</v>
      </c>
      <c r="B120" s="7">
        <v>3006.47</v>
      </c>
      <c r="C120" s="8">
        <v>0.41</v>
      </c>
      <c r="D120" s="11">
        <f t="shared" si="8"/>
        <v>147.39307209672373</v>
      </c>
      <c r="E120" s="10">
        <v>0.61</v>
      </c>
      <c r="F120" s="11">
        <f t="shared" si="9"/>
        <v>140.66577688082356</v>
      </c>
      <c r="G120" s="8">
        <v>0.22</v>
      </c>
      <c r="H120" s="8">
        <v>0.59</v>
      </c>
      <c r="I120" s="8">
        <v>1.726</v>
      </c>
      <c r="J120" s="11">
        <v>76.706896551724142</v>
      </c>
      <c r="K120" s="8">
        <v>91.29</v>
      </c>
      <c r="L120" s="8">
        <v>217.23</v>
      </c>
      <c r="M120" s="8">
        <v>0.66</v>
      </c>
      <c r="N120" s="11">
        <v>2.15693</v>
      </c>
      <c r="O120" s="11">
        <f t="shared" si="7"/>
        <v>4.8680300241557097E-2</v>
      </c>
      <c r="P120" s="11">
        <f t="shared" si="10"/>
        <v>173.65591287302607</v>
      </c>
      <c r="Q120" s="13">
        <v>0.85</v>
      </c>
      <c r="R120" s="11">
        <f t="shared" si="11"/>
        <v>130.01000419065485</v>
      </c>
      <c r="S120" s="13">
        <v>4.6100000000000003</v>
      </c>
      <c r="T120" s="11">
        <f t="shared" si="13"/>
        <v>135.35772292721174</v>
      </c>
      <c r="U120" s="13">
        <v>-0.19</v>
      </c>
      <c r="V120" s="11">
        <f t="shared" si="12"/>
        <v>147.07314593564402</v>
      </c>
      <c r="W120" s="8">
        <v>8.2100000000000009</v>
      </c>
      <c r="X120" s="8">
        <v>4.3499999999999996</v>
      </c>
      <c r="Y120" s="20">
        <v>4.5</v>
      </c>
    </row>
    <row r="121" spans="1:25" x14ac:dyDescent="0.3">
      <c r="A121" s="6">
        <v>40148</v>
      </c>
      <c r="B121" s="14">
        <v>3017.59</v>
      </c>
      <c r="C121" s="10">
        <v>0.37</v>
      </c>
      <c r="D121" s="11">
        <f t="shared" si="8"/>
        <v>147.93842646348162</v>
      </c>
      <c r="E121" s="8">
        <v>0.78</v>
      </c>
      <c r="F121" s="11">
        <f t="shared" si="9"/>
        <v>141.76296994049397</v>
      </c>
      <c r="G121" s="10">
        <v>0.16</v>
      </c>
      <c r="H121" s="10">
        <v>0.45</v>
      </c>
      <c r="I121" s="10">
        <v>1.7506999999999999</v>
      </c>
      <c r="J121" s="11">
        <v>74.45548387096774</v>
      </c>
      <c r="K121" s="10">
        <v>92.66</v>
      </c>
      <c r="L121" s="10">
        <v>217.35</v>
      </c>
      <c r="M121" s="10">
        <v>0.73</v>
      </c>
      <c r="N121" s="11">
        <v>2.1579100000000002</v>
      </c>
      <c r="O121" s="11">
        <f t="shared" si="7"/>
        <v>4.5414312923161892E-2</v>
      </c>
      <c r="P121" s="11">
        <f t="shared" si="10"/>
        <v>173.73477751270781</v>
      </c>
      <c r="Q121" s="13">
        <v>0.13</v>
      </c>
      <c r="R121" s="11">
        <f t="shared" si="11"/>
        <v>130.17901719610271</v>
      </c>
      <c r="S121" s="13">
        <v>1.52</v>
      </c>
      <c r="T121" s="11">
        <f t="shared" si="13"/>
        <v>137.41516031570535</v>
      </c>
      <c r="U121" s="13">
        <v>-0.02</v>
      </c>
      <c r="V121" s="11">
        <f t="shared" si="12"/>
        <v>147.04373130645689</v>
      </c>
      <c r="W121" s="10">
        <v>9.1199999999999992</v>
      </c>
      <c r="X121" s="10">
        <v>4.4000000000000004</v>
      </c>
      <c r="Y121" s="20">
        <v>4.5</v>
      </c>
    </row>
    <row r="122" spans="1:25" x14ac:dyDescent="0.3">
      <c r="A122" s="6">
        <v>40179</v>
      </c>
      <c r="B122" s="7">
        <v>3040.22</v>
      </c>
      <c r="C122" s="8">
        <v>0.75</v>
      </c>
      <c r="D122" s="11">
        <f t="shared" si="8"/>
        <v>149.04796466195774</v>
      </c>
      <c r="E122" s="10">
        <v>1.45</v>
      </c>
      <c r="F122" s="11">
        <f t="shared" si="9"/>
        <v>143.81853300463115</v>
      </c>
      <c r="G122" s="8">
        <v>0.68</v>
      </c>
      <c r="H122" s="8">
        <v>0.75</v>
      </c>
      <c r="I122" s="8">
        <v>1.7798</v>
      </c>
      <c r="J122" s="11">
        <v>76.60032258064517</v>
      </c>
      <c r="K122" s="8">
        <v>94.05</v>
      </c>
      <c r="L122" s="8">
        <v>217.49</v>
      </c>
      <c r="M122" s="8">
        <v>0.66</v>
      </c>
      <c r="N122" s="11">
        <v>2.15646</v>
      </c>
      <c r="O122" s="11">
        <f t="shared" si="7"/>
        <v>-6.7239828237026109E-2</v>
      </c>
      <c r="P122" s="11">
        <f t="shared" si="10"/>
        <v>173.61795854672027</v>
      </c>
      <c r="Q122" s="13">
        <v>1.33</v>
      </c>
      <c r="R122" s="11">
        <f t="shared" si="11"/>
        <v>131.91039812481088</v>
      </c>
      <c r="S122" s="13">
        <v>11.09</v>
      </c>
      <c r="T122" s="11">
        <f t="shared" si="13"/>
        <v>152.65450159471706</v>
      </c>
      <c r="U122" s="13">
        <v>0.26</v>
      </c>
      <c r="V122" s="11">
        <f t="shared" si="12"/>
        <v>147.42604500785367</v>
      </c>
      <c r="W122" s="8">
        <v>8.2100000000000009</v>
      </c>
      <c r="X122" s="8">
        <v>4.68</v>
      </c>
      <c r="Y122" s="22">
        <v>4.5</v>
      </c>
    </row>
    <row r="123" spans="1:25" x14ac:dyDescent="0.3">
      <c r="A123" s="6">
        <v>40210</v>
      </c>
      <c r="B123" s="14">
        <v>3063.93</v>
      </c>
      <c r="C123" s="10">
        <v>0.78</v>
      </c>
      <c r="D123" s="11">
        <f t="shared" si="8"/>
        <v>150.210538786321</v>
      </c>
      <c r="E123" s="8">
        <v>0.79</v>
      </c>
      <c r="F123" s="11">
        <f t="shared" si="9"/>
        <v>144.95469941536774</v>
      </c>
      <c r="G123" s="10">
        <v>0.26</v>
      </c>
      <c r="H123" s="10">
        <v>1.54</v>
      </c>
      <c r="I123" s="10">
        <v>1.8402000000000001</v>
      </c>
      <c r="J123" s="11">
        <v>73.642142857142858</v>
      </c>
      <c r="K123" s="10">
        <v>94.95</v>
      </c>
      <c r="L123" s="10">
        <v>217.28</v>
      </c>
      <c r="M123" s="10">
        <v>0.59</v>
      </c>
      <c r="N123" s="11">
        <v>2.1559599999999999</v>
      </c>
      <c r="O123" s="11">
        <f t="shared" si="7"/>
        <v>-2.3191524889152257E-2</v>
      </c>
      <c r="P123" s="11">
        <f t="shared" si="10"/>
        <v>173.57769389465187</v>
      </c>
      <c r="Q123" s="13">
        <v>0.97</v>
      </c>
      <c r="R123" s="11">
        <f t="shared" si="11"/>
        <v>133.18992898662154</v>
      </c>
      <c r="S123" s="13">
        <v>3.21</v>
      </c>
      <c r="T123" s="11">
        <f t="shared" si="13"/>
        <v>157.55471109590746</v>
      </c>
      <c r="U123" s="13">
        <v>0</v>
      </c>
      <c r="V123" s="11">
        <f t="shared" si="12"/>
        <v>147.42604500785367</v>
      </c>
      <c r="W123" s="10">
        <v>7.31</v>
      </c>
      <c r="X123" s="10">
        <v>4.66</v>
      </c>
      <c r="Y123" s="22">
        <v>4.5</v>
      </c>
    </row>
    <row r="124" spans="1:25" x14ac:dyDescent="0.3">
      <c r="A124" s="6">
        <v>40238</v>
      </c>
      <c r="B124" s="7">
        <v>3079.86</v>
      </c>
      <c r="C124" s="8">
        <v>0.52</v>
      </c>
      <c r="D124" s="11">
        <f t="shared" si="8"/>
        <v>150.99163358800988</v>
      </c>
      <c r="E124" s="10">
        <v>-0.54</v>
      </c>
      <c r="F124" s="11">
        <f t="shared" si="9"/>
        <v>144.17194403852474</v>
      </c>
      <c r="G124" s="8">
        <v>0.53</v>
      </c>
      <c r="H124" s="8">
        <v>1.03</v>
      </c>
      <c r="I124" s="8">
        <v>1.7858000000000001</v>
      </c>
      <c r="J124" s="11">
        <v>78.63645161290323</v>
      </c>
      <c r="K124" s="8">
        <v>95.84</v>
      </c>
      <c r="L124" s="8">
        <v>217.35</v>
      </c>
      <c r="M124" s="8">
        <v>0.76</v>
      </c>
      <c r="N124" s="11">
        <v>2.1572100000000001</v>
      </c>
      <c r="O124" s="11">
        <f t="shared" si="7"/>
        <v>5.7945216274734278E-2</v>
      </c>
      <c r="P124" s="11">
        <f t="shared" si="10"/>
        <v>173.67827386478382</v>
      </c>
      <c r="Q124" s="13">
        <v>-1.95</v>
      </c>
      <c r="R124" s="11">
        <f t="shared" si="11"/>
        <v>130.59272537138241</v>
      </c>
      <c r="S124" s="13">
        <v>-8.8699999999999992</v>
      </c>
      <c r="T124" s="11">
        <f t="shared" si="13"/>
        <v>143.57960822170048</v>
      </c>
      <c r="U124" s="13">
        <v>-0.1</v>
      </c>
      <c r="V124" s="11">
        <f t="shared" si="12"/>
        <v>147.27861896284583</v>
      </c>
      <c r="W124" s="8">
        <v>9.51</v>
      </c>
      <c r="X124" s="8">
        <v>4.7</v>
      </c>
      <c r="Y124" s="22">
        <v>4.5</v>
      </c>
    </row>
    <row r="125" spans="1:25" x14ac:dyDescent="0.3">
      <c r="A125" s="6">
        <v>40269</v>
      </c>
      <c r="B125" s="14">
        <v>3097.42</v>
      </c>
      <c r="C125" s="10">
        <v>0.56999999999999995</v>
      </c>
      <c r="D125" s="11">
        <f t="shared" si="8"/>
        <v>151.85228589946152</v>
      </c>
      <c r="E125" s="8">
        <v>-0.08</v>
      </c>
      <c r="F125" s="11">
        <f t="shared" si="9"/>
        <v>144.05660648329393</v>
      </c>
      <c r="G125" s="10">
        <v>0.61</v>
      </c>
      <c r="H125" s="10">
        <v>0.87</v>
      </c>
      <c r="I125" s="10">
        <v>1.7576000000000001</v>
      </c>
      <c r="J125" s="11">
        <v>84.191666666666663</v>
      </c>
      <c r="K125" s="10">
        <v>96.36</v>
      </c>
      <c r="L125" s="10">
        <v>217.4</v>
      </c>
      <c r="M125" s="10">
        <v>0.67</v>
      </c>
      <c r="N125" s="11">
        <v>2.1566000000000001</v>
      </c>
      <c r="O125" s="11">
        <f t="shared" si="7"/>
        <v>-2.8285263841231541E-2</v>
      </c>
      <c r="P125" s="11">
        <f t="shared" si="10"/>
        <v>173.62914850678627</v>
      </c>
      <c r="Q125" s="13">
        <v>-0.56000000000000005</v>
      </c>
      <c r="R125" s="11">
        <f t="shared" si="11"/>
        <v>129.86140610930266</v>
      </c>
      <c r="S125" s="13">
        <v>-8.3699999999999992</v>
      </c>
      <c r="T125" s="11">
        <f t="shared" si="13"/>
        <v>131.56199501354416</v>
      </c>
      <c r="U125" s="13">
        <v>-0.3</v>
      </c>
      <c r="V125" s="11">
        <f t="shared" si="12"/>
        <v>146.83678310595729</v>
      </c>
      <c r="W125" s="10">
        <v>8.34</v>
      </c>
      <c r="X125" s="10">
        <v>4.8600000000000003</v>
      </c>
      <c r="Y125" s="22">
        <v>4.5</v>
      </c>
    </row>
    <row r="126" spans="1:25" x14ac:dyDescent="0.3">
      <c r="A126" s="6">
        <v>40299</v>
      </c>
      <c r="B126" s="7">
        <v>3110.74</v>
      </c>
      <c r="C126" s="8">
        <v>0.43</v>
      </c>
      <c r="D126" s="11">
        <f t="shared" si="8"/>
        <v>152.5052507288292</v>
      </c>
      <c r="E126" s="10">
        <v>0.09</v>
      </c>
      <c r="F126" s="11">
        <f t="shared" si="9"/>
        <v>144.18625742912889</v>
      </c>
      <c r="G126" s="8">
        <v>0.42</v>
      </c>
      <c r="H126" s="8">
        <v>0.52</v>
      </c>
      <c r="I126" s="8">
        <v>1.8131999999999999</v>
      </c>
      <c r="J126" s="11">
        <v>77.267741935483883</v>
      </c>
      <c r="K126" s="8">
        <v>95.61</v>
      </c>
      <c r="L126" s="8">
        <v>217.29</v>
      </c>
      <c r="M126" s="8">
        <v>0.75</v>
      </c>
      <c r="N126" s="11">
        <v>2.1560299999999999</v>
      </c>
      <c r="O126" s="11">
        <f t="shared" si="7"/>
        <v>-2.6437479997967632E-2</v>
      </c>
      <c r="P126" s="11">
        <f t="shared" si="10"/>
        <v>173.58324533537913</v>
      </c>
      <c r="Q126" s="13">
        <v>0.01</v>
      </c>
      <c r="R126" s="11">
        <f t="shared" si="11"/>
        <v>129.8743922499136</v>
      </c>
      <c r="S126" s="13">
        <v>-5.77</v>
      </c>
      <c r="T126" s="11">
        <f t="shared" si="13"/>
        <v>123.97086790126266</v>
      </c>
      <c r="U126" s="13">
        <v>0.03</v>
      </c>
      <c r="V126" s="11">
        <f t="shared" si="12"/>
        <v>146.88083414088908</v>
      </c>
      <c r="W126" s="8">
        <v>9.3800000000000008</v>
      </c>
      <c r="X126" s="8">
        <v>4.88</v>
      </c>
      <c r="Y126" s="22">
        <v>4.5</v>
      </c>
    </row>
    <row r="127" spans="1:25" x14ac:dyDescent="0.3">
      <c r="A127" s="6">
        <v>40330</v>
      </c>
      <c r="B127" s="14">
        <v>3110.74</v>
      </c>
      <c r="C127" s="10">
        <v>0</v>
      </c>
      <c r="D127" s="11">
        <f t="shared" si="8"/>
        <v>152.5052507288292</v>
      </c>
      <c r="E127" s="8">
        <v>-0.21</v>
      </c>
      <c r="F127" s="11">
        <f t="shared" si="9"/>
        <v>143.88346628852773</v>
      </c>
      <c r="G127" s="10">
        <v>-0.09</v>
      </c>
      <c r="H127" s="10">
        <v>-0.01</v>
      </c>
      <c r="I127" s="10">
        <v>1.8059000000000001</v>
      </c>
      <c r="J127" s="11">
        <v>74.555000000000007</v>
      </c>
      <c r="K127" s="10">
        <v>95.44</v>
      </c>
      <c r="L127" s="10">
        <v>217.2</v>
      </c>
      <c r="M127" s="10">
        <v>0.79</v>
      </c>
      <c r="N127" s="11">
        <v>2.1573099999999998</v>
      </c>
      <c r="O127" s="11">
        <f t="shared" si="7"/>
        <v>5.9333151007502305E-2</v>
      </c>
      <c r="P127" s="11">
        <f t="shared" si="10"/>
        <v>173.68623774445769</v>
      </c>
      <c r="Q127" s="13">
        <v>-0.76</v>
      </c>
      <c r="R127" s="11">
        <f t="shared" si="11"/>
        <v>128.88734686881426</v>
      </c>
      <c r="S127" s="13">
        <v>-5.41</v>
      </c>
      <c r="T127" s="11">
        <f t="shared" si="13"/>
        <v>117.26404394780435</v>
      </c>
      <c r="U127" s="13">
        <v>0.02</v>
      </c>
      <c r="V127" s="11">
        <f t="shared" si="12"/>
        <v>146.91021030771725</v>
      </c>
      <c r="W127" s="10">
        <v>9.9</v>
      </c>
      <c r="X127" s="10">
        <v>4.74</v>
      </c>
      <c r="Y127" s="22">
        <v>4.5</v>
      </c>
    </row>
    <row r="128" spans="1:25" x14ac:dyDescent="0.3">
      <c r="A128" s="6">
        <v>40360</v>
      </c>
      <c r="B128" s="7">
        <v>3111.05</v>
      </c>
      <c r="C128" s="8">
        <v>0.01</v>
      </c>
      <c r="D128" s="11">
        <f t="shared" si="8"/>
        <v>152.52050125390207</v>
      </c>
      <c r="E128" s="10">
        <v>0.08</v>
      </c>
      <c r="F128" s="11">
        <f t="shared" si="9"/>
        <v>143.99857306155855</v>
      </c>
      <c r="G128" s="8">
        <v>-0.21</v>
      </c>
      <c r="H128" s="8">
        <v>-0.04</v>
      </c>
      <c r="I128" s="8">
        <v>1.7696000000000001</v>
      </c>
      <c r="J128" s="11">
        <v>75.336774193548393</v>
      </c>
      <c r="K128" s="8">
        <v>95.95</v>
      </c>
      <c r="L128" s="8">
        <v>217.61</v>
      </c>
      <c r="M128" s="8">
        <v>0.86</v>
      </c>
      <c r="N128" s="11">
        <v>2.1590500000000001</v>
      </c>
      <c r="O128" s="11">
        <f t="shared" si="7"/>
        <v>8.059100067160542E-2</v>
      </c>
      <c r="P128" s="11">
        <f t="shared" si="10"/>
        <v>173.82621322148481</v>
      </c>
      <c r="Q128" s="13">
        <v>-0.13</v>
      </c>
      <c r="R128" s="11">
        <f t="shared" si="11"/>
        <v>128.71979331788481</v>
      </c>
      <c r="S128" s="13">
        <v>1.52</v>
      </c>
      <c r="T128" s="11">
        <f t="shared" si="13"/>
        <v>119.04645741581098</v>
      </c>
      <c r="U128" s="13">
        <v>0.04</v>
      </c>
      <c r="V128" s="11">
        <f t="shared" si="12"/>
        <v>146.96897439184033</v>
      </c>
      <c r="W128" s="8">
        <v>10.82</v>
      </c>
      <c r="X128" s="8">
        <v>4.82</v>
      </c>
      <c r="Y128" s="22">
        <v>4.5</v>
      </c>
    </row>
    <row r="129" spans="1:25" x14ac:dyDescent="0.3">
      <c r="A129" s="6">
        <v>40391</v>
      </c>
      <c r="B129" s="14">
        <v>3112.29</v>
      </c>
      <c r="C129" s="10">
        <v>0.04</v>
      </c>
      <c r="D129" s="11">
        <f t="shared" si="8"/>
        <v>152.58150945440363</v>
      </c>
      <c r="E129" s="8">
        <v>-0.09</v>
      </c>
      <c r="F129" s="11">
        <f t="shared" si="9"/>
        <v>143.86897434580314</v>
      </c>
      <c r="G129" s="10">
        <v>0.12</v>
      </c>
      <c r="H129" s="10">
        <v>0.01</v>
      </c>
      <c r="I129" s="10">
        <v>1.7596000000000001</v>
      </c>
      <c r="J129" s="11">
        <v>77.173225806451612</v>
      </c>
      <c r="K129" s="10">
        <v>96.56</v>
      </c>
      <c r="L129" s="10">
        <v>217.92</v>
      </c>
      <c r="M129" s="10">
        <v>0.89</v>
      </c>
      <c r="N129" s="11">
        <v>2.1608399999999999</v>
      </c>
      <c r="O129" s="11">
        <f t="shared" si="7"/>
        <v>8.2838155532095684E-2</v>
      </c>
      <c r="P129" s="11">
        <f t="shared" si="10"/>
        <v>173.97020765034878</v>
      </c>
      <c r="Q129" s="13">
        <v>0.75</v>
      </c>
      <c r="R129" s="11">
        <f t="shared" si="11"/>
        <v>129.68519176776894</v>
      </c>
      <c r="S129" s="13">
        <v>4.12</v>
      </c>
      <c r="T129" s="11">
        <f t="shared" si="13"/>
        <v>123.95117146134238</v>
      </c>
      <c r="U129" s="13">
        <v>-0.01</v>
      </c>
      <c r="V129" s="11">
        <f t="shared" si="12"/>
        <v>146.95427749440114</v>
      </c>
      <c r="W129" s="10">
        <v>11.22</v>
      </c>
      <c r="X129" s="10">
        <v>4.9800000000000004</v>
      </c>
      <c r="Y129" s="22">
        <v>4.5</v>
      </c>
    </row>
    <row r="130" spans="1:25" x14ac:dyDescent="0.3">
      <c r="A130" s="6">
        <v>40422</v>
      </c>
      <c r="B130" s="7">
        <v>3126.29</v>
      </c>
      <c r="C130" s="8">
        <v>0.45</v>
      </c>
      <c r="D130" s="11">
        <f t="shared" si="8"/>
        <v>153.26812624694844</v>
      </c>
      <c r="E130" s="10">
        <v>0.13</v>
      </c>
      <c r="F130" s="11">
        <f t="shared" si="9"/>
        <v>144.05600401245269</v>
      </c>
      <c r="G130" s="8">
        <v>0.88</v>
      </c>
      <c r="H130" s="8">
        <v>0.28000000000000003</v>
      </c>
      <c r="I130" s="8">
        <v>1.7186999999999999</v>
      </c>
      <c r="J130" s="11">
        <v>77.501333333333335</v>
      </c>
      <c r="K130" s="8">
        <v>97.42</v>
      </c>
      <c r="L130" s="8">
        <v>218.28</v>
      </c>
      <c r="M130" s="8">
        <v>0.85</v>
      </c>
      <c r="N130" s="11">
        <v>2.1625399999999999</v>
      </c>
      <c r="O130" s="11">
        <f t="shared" si="7"/>
        <v>7.8611262681847968E-2</v>
      </c>
      <c r="P130" s="11">
        <f t="shared" si="10"/>
        <v>174.10696782727297</v>
      </c>
      <c r="Q130" s="13">
        <v>-0.14000000000000001</v>
      </c>
      <c r="R130" s="11">
        <f t="shared" si="11"/>
        <v>129.50363249929407</v>
      </c>
      <c r="S130" s="13">
        <v>0.86</v>
      </c>
      <c r="T130" s="11">
        <f t="shared" si="13"/>
        <v>125.01715153590993</v>
      </c>
      <c r="U130" s="13">
        <v>0.04</v>
      </c>
      <c r="V130" s="11">
        <f t="shared" si="12"/>
        <v>147.01305920539889</v>
      </c>
      <c r="W130" s="8">
        <v>10.69</v>
      </c>
      <c r="X130" s="8">
        <v>5.31</v>
      </c>
      <c r="Y130" s="22">
        <v>4.5</v>
      </c>
    </row>
    <row r="131" spans="1:25" x14ac:dyDescent="0.3">
      <c r="A131" s="6">
        <v>40452</v>
      </c>
      <c r="B131" s="14">
        <v>3149.74</v>
      </c>
      <c r="C131" s="10">
        <v>0.75</v>
      </c>
      <c r="D131" s="11">
        <f t="shared" si="8"/>
        <v>154.41763719380054</v>
      </c>
      <c r="E131" s="8">
        <v>0.36</v>
      </c>
      <c r="F131" s="11">
        <f t="shared" si="9"/>
        <v>144.57460562689752</v>
      </c>
      <c r="G131" s="10">
        <v>1</v>
      </c>
      <c r="H131" s="10">
        <v>0.88</v>
      </c>
      <c r="I131" s="10">
        <v>1.6859999999999999</v>
      </c>
      <c r="J131" s="11">
        <v>82.27</v>
      </c>
      <c r="K131" s="10">
        <v>97.27</v>
      </c>
      <c r="L131" s="10">
        <v>219.04</v>
      </c>
      <c r="M131" s="10">
        <v>0.81</v>
      </c>
      <c r="N131" s="11">
        <v>2.1651500000000001</v>
      </c>
      <c r="O131" s="11">
        <f t="shared" si="7"/>
        <v>0.12054592060597295</v>
      </c>
      <c r="P131" s="11">
        <f t="shared" si="10"/>
        <v>174.31684667447951</v>
      </c>
      <c r="Q131" s="13">
        <v>1.1299999999999999</v>
      </c>
      <c r="R131" s="11">
        <f t="shared" si="11"/>
        <v>130.9670235465361</v>
      </c>
      <c r="S131" s="13">
        <v>7.41</v>
      </c>
      <c r="T131" s="11">
        <f t="shared" si="13"/>
        <v>134.28092246472085</v>
      </c>
      <c r="U131" s="13">
        <v>0.03</v>
      </c>
      <c r="V131" s="11">
        <f t="shared" si="12"/>
        <v>147.05716312316051</v>
      </c>
      <c r="W131" s="10">
        <v>10.16</v>
      </c>
      <c r="X131" s="10">
        <v>5.42</v>
      </c>
      <c r="Y131" s="22">
        <v>4.5</v>
      </c>
    </row>
    <row r="132" spans="1:25" x14ac:dyDescent="0.3">
      <c r="A132" s="6">
        <v>40483</v>
      </c>
      <c r="B132" s="7">
        <v>3175.88</v>
      </c>
      <c r="C132" s="8">
        <v>0.83</v>
      </c>
      <c r="D132" s="11">
        <f t="shared" si="8"/>
        <v>155.69930358250909</v>
      </c>
      <c r="E132" s="10">
        <v>0.13</v>
      </c>
      <c r="F132" s="11">
        <f t="shared" si="9"/>
        <v>144.7625526142125</v>
      </c>
      <c r="G132" s="8">
        <v>1.53</v>
      </c>
      <c r="H132" s="8">
        <v>0.6</v>
      </c>
      <c r="I132" s="8">
        <v>1.7133</v>
      </c>
      <c r="J132" s="11">
        <v>85.170344827586206</v>
      </c>
      <c r="K132" s="8">
        <v>98.37</v>
      </c>
      <c r="L132" s="8">
        <v>219.59</v>
      </c>
      <c r="M132" s="8">
        <v>0.81</v>
      </c>
      <c r="N132" s="11">
        <v>2.16696</v>
      </c>
      <c r="O132" s="11">
        <f t="shared" si="7"/>
        <v>8.3527153246938907E-2</v>
      </c>
      <c r="P132" s="11">
        <f t="shared" si="10"/>
        <v>174.46244857413654</v>
      </c>
      <c r="Q132" s="13">
        <v>0.81</v>
      </c>
      <c r="R132" s="11">
        <f t="shared" si="11"/>
        <v>132.02785643726304</v>
      </c>
      <c r="S132" s="13">
        <v>2.97</v>
      </c>
      <c r="T132" s="11">
        <f t="shared" si="13"/>
        <v>138.26906586192305</v>
      </c>
      <c r="U132" s="13">
        <v>-0.21</v>
      </c>
      <c r="V132" s="11">
        <f t="shared" si="12"/>
        <v>146.74834308060187</v>
      </c>
      <c r="W132" s="8">
        <v>10.16</v>
      </c>
      <c r="X132" s="8">
        <v>5.61</v>
      </c>
      <c r="Y132" s="22">
        <v>4.5</v>
      </c>
    </row>
    <row r="133" spans="1:25" x14ac:dyDescent="0.3">
      <c r="A133" s="6">
        <v>40513</v>
      </c>
      <c r="B133" s="14">
        <v>3195.89</v>
      </c>
      <c r="C133" s="10">
        <v>0.63</v>
      </c>
      <c r="D133" s="11">
        <f t="shared" si="8"/>
        <v>156.6802091950789</v>
      </c>
      <c r="E133" s="8">
        <v>0.28999999999999998</v>
      </c>
      <c r="F133" s="11">
        <f t="shared" si="9"/>
        <v>145.18236401679371</v>
      </c>
      <c r="G133" s="10">
        <v>0.95</v>
      </c>
      <c r="H133" s="10">
        <v>0.63</v>
      </c>
      <c r="I133" s="10">
        <v>1.6934</v>
      </c>
      <c r="J133" s="11">
        <v>90.76161290322581</v>
      </c>
      <c r="K133" s="10">
        <v>97.34</v>
      </c>
      <c r="L133" s="10">
        <v>220.47</v>
      </c>
      <c r="M133" s="10">
        <v>0.93</v>
      </c>
      <c r="N133" s="11">
        <v>2.1692900000000002</v>
      </c>
      <c r="O133" s="11">
        <f t="shared" si="7"/>
        <v>0.10740841473478259</v>
      </c>
      <c r="P133" s="11">
        <f t="shared" si="10"/>
        <v>174.64983592445751</v>
      </c>
      <c r="Q133" s="13">
        <v>0.25</v>
      </c>
      <c r="R133" s="11">
        <f t="shared" si="11"/>
        <v>132.3579260783562</v>
      </c>
      <c r="S133" s="13">
        <v>3.7</v>
      </c>
      <c r="T133" s="11">
        <f t="shared" si="13"/>
        <v>143.38502129881419</v>
      </c>
      <c r="U133" s="13">
        <v>0.09</v>
      </c>
      <c r="V133" s="11">
        <f t="shared" si="12"/>
        <v>146.88041658937442</v>
      </c>
      <c r="W133" s="10">
        <v>11.75</v>
      </c>
      <c r="X133" s="10">
        <v>5.52</v>
      </c>
      <c r="Y133" s="22">
        <v>4.5</v>
      </c>
    </row>
    <row r="134" spans="1:25" x14ac:dyDescent="0.3">
      <c r="A134" s="6">
        <v>40544</v>
      </c>
      <c r="B134" s="7">
        <v>3222.42</v>
      </c>
      <c r="C134" s="8">
        <v>0.83</v>
      </c>
      <c r="D134" s="11">
        <f t="shared" si="8"/>
        <v>157.98065493139805</v>
      </c>
      <c r="E134" s="10">
        <v>1.55</v>
      </c>
      <c r="F134" s="11">
        <f t="shared" si="9"/>
        <v>147.432690659054</v>
      </c>
      <c r="G134" s="8">
        <v>0.43</v>
      </c>
      <c r="H134" s="8">
        <v>1.1000000000000001</v>
      </c>
      <c r="I134" s="8">
        <v>1.6748000000000001</v>
      </c>
      <c r="J134" s="11">
        <v>96.032258064516128</v>
      </c>
      <c r="K134" s="8">
        <v>98.55</v>
      </c>
      <c r="L134" s="8">
        <v>221.19</v>
      </c>
      <c r="M134" s="8">
        <v>0.86</v>
      </c>
      <c r="N134" s="11">
        <v>2.1717</v>
      </c>
      <c r="O134" s="11">
        <f t="shared" si="7"/>
        <v>0.11097297048394351</v>
      </c>
      <c r="P134" s="11">
        <f t="shared" si="10"/>
        <v>174.84365003532821</v>
      </c>
      <c r="Q134" s="13">
        <v>0.62</v>
      </c>
      <c r="R134" s="11">
        <f t="shared" si="11"/>
        <v>133.178545220042</v>
      </c>
      <c r="S134" s="13">
        <v>3.78</v>
      </c>
      <c r="T134" s="11">
        <f t="shared" si="13"/>
        <v>148.80497510390938</v>
      </c>
      <c r="U134" s="13">
        <v>0.71</v>
      </c>
      <c r="V134" s="11">
        <f t="shared" si="12"/>
        <v>147.92326754715899</v>
      </c>
      <c r="W134" s="8">
        <v>10.82</v>
      </c>
      <c r="X134" s="8">
        <v>5.67</v>
      </c>
      <c r="Y134" s="20">
        <v>4.5</v>
      </c>
    </row>
    <row r="135" spans="1:25" x14ac:dyDescent="0.3">
      <c r="A135" s="6">
        <v>40575</v>
      </c>
      <c r="B135" s="14">
        <v>3248.2</v>
      </c>
      <c r="C135" s="10">
        <v>0.8</v>
      </c>
      <c r="D135" s="11">
        <f t="shared" si="8"/>
        <v>159.24450017084922</v>
      </c>
      <c r="E135" s="8">
        <v>0.46</v>
      </c>
      <c r="F135" s="11">
        <f t="shared" si="9"/>
        <v>148.11088103608566</v>
      </c>
      <c r="G135" s="10">
        <v>-0.02</v>
      </c>
      <c r="H135" s="10">
        <v>1.78</v>
      </c>
      <c r="I135" s="10">
        <v>1.6679999999999999</v>
      </c>
      <c r="J135" s="11">
        <v>103.1489285714286</v>
      </c>
      <c r="K135" s="10">
        <v>98.92</v>
      </c>
      <c r="L135" s="10">
        <v>221.9</v>
      </c>
      <c r="M135" s="10">
        <v>0.84</v>
      </c>
      <c r="N135" s="11">
        <v>2.1732</v>
      </c>
      <c r="O135" s="11">
        <f t="shared" si="7"/>
        <v>6.902263942573425E-2</v>
      </c>
      <c r="P135" s="11">
        <f t="shared" si="10"/>
        <v>174.96433173745089</v>
      </c>
      <c r="Q135" s="13">
        <v>0.5</v>
      </c>
      <c r="R135" s="11">
        <f t="shared" si="11"/>
        <v>133.84443794614219</v>
      </c>
      <c r="S135" s="13">
        <v>2.5499999999999998</v>
      </c>
      <c r="T135" s="11">
        <f t="shared" si="13"/>
        <v>152.59950196905908</v>
      </c>
      <c r="U135" s="13">
        <v>0.65</v>
      </c>
      <c r="V135" s="11">
        <f t="shared" si="12"/>
        <v>148.88476878621552</v>
      </c>
      <c r="W135" s="10">
        <v>10.56</v>
      </c>
      <c r="X135" s="10">
        <v>5.61</v>
      </c>
      <c r="Y135" s="20">
        <v>4.5</v>
      </c>
    </row>
    <row r="136" spans="1:25" x14ac:dyDescent="0.3">
      <c r="A136" s="6">
        <v>40603</v>
      </c>
      <c r="B136" s="7">
        <v>3273.86</v>
      </c>
      <c r="C136" s="8">
        <v>0.79</v>
      </c>
      <c r="D136" s="11">
        <f t="shared" si="8"/>
        <v>160.50253172219894</v>
      </c>
      <c r="E136" s="10">
        <v>1.56</v>
      </c>
      <c r="F136" s="11">
        <f t="shared" si="9"/>
        <v>150.42141078024861</v>
      </c>
      <c r="G136" s="8">
        <v>0.27</v>
      </c>
      <c r="H136" s="8">
        <v>1.05</v>
      </c>
      <c r="I136" s="8">
        <v>1.6591</v>
      </c>
      <c r="J136" s="11">
        <v>114.38</v>
      </c>
      <c r="K136" s="8">
        <v>98.96</v>
      </c>
      <c r="L136" s="8">
        <v>223.05</v>
      </c>
      <c r="M136" s="8">
        <v>0.92</v>
      </c>
      <c r="N136" s="11">
        <v>2.1754899999999999</v>
      </c>
      <c r="O136" s="11">
        <f t="shared" si="7"/>
        <v>0.10526364175426701</v>
      </c>
      <c r="P136" s="11">
        <f t="shared" si="10"/>
        <v>175.14850556480874</v>
      </c>
      <c r="Q136" s="13">
        <v>1.97</v>
      </c>
      <c r="R136" s="11">
        <f t="shared" si="11"/>
        <v>136.4811733736812</v>
      </c>
      <c r="S136" s="13">
        <v>10.78</v>
      </c>
      <c r="T136" s="11">
        <f t="shared" si="13"/>
        <v>169.04972828132364</v>
      </c>
      <c r="U136" s="13">
        <v>0.37</v>
      </c>
      <c r="V136" s="11">
        <f t="shared" si="12"/>
        <v>149.43564243072453</v>
      </c>
      <c r="W136" s="8">
        <v>11.62</v>
      </c>
      <c r="X136" s="8">
        <v>5.61</v>
      </c>
      <c r="Y136" s="20">
        <v>4.5</v>
      </c>
    </row>
    <row r="137" spans="1:25" x14ac:dyDescent="0.3">
      <c r="A137" s="6">
        <v>40634</v>
      </c>
      <c r="B137" s="14">
        <v>3299.07</v>
      </c>
      <c r="C137" s="10">
        <v>0.77</v>
      </c>
      <c r="D137" s="11">
        <f t="shared" si="8"/>
        <v>161.73840121645986</v>
      </c>
      <c r="E137" s="8">
        <v>1.57</v>
      </c>
      <c r="F137" s="11">
        <f t="shared" si="9"/>
        <v>152.7830269294985</v>
      </c>
      <c r="G137" s="10">
        <v>0.6</v>
      </c>
      <c r="H137" s="10">
        <v>0.52</v>
      </c>
      <c r="I137" s="10">
        <v>1.5864</v>
      </c>
      <c r="J137" s="11">
        <v>122.2855172413793</v>
      </c>
      <c r="K137" s="10">
        <v>98.98</v>
      </c>
      <c r="L137" s="10">
        <v>224.09</v>
      </c>
      <c r="M137" s="10">
        <v>0.84</v>
      </c>
      <c r="N137" s="11">
        <v>2.1770100000000001</v>
      </c>
      <c r="O137" s="11">
        <f t="shared" si="7"/>
        <v>6.9820533667745571E-2</v>
      </c>
      <c r="P137" s="11">
        <f t="shared" si="10"/>
        <v>175.27079518610518</v>
      </c>
      <c r="Q137" s="13">
        <v>6.26</v>
      </c>
      <c r="R137" s="11">
        <f t="shared" si="11"/>
        <v>145.02489482687363</v>
      </c>
      <c r="S137" s="13">
        <v>11.2</v>
      </c>
      <c r="T137" s="11">
        <f t="shared" si="13"/>
        <v>187.98329784883188</v>
      </c>
      <c r="U137" s="13">
        <v>7.0000000000000007E-2</v>
      </c>
      <c r="V137" s="11">
        <f t="shared" si="12"/>
        <v>149.54024738042602</v>
      </c>
      <c r="W137" s="10">
        <v>10.56</v>
      </c>
      <c r="X137" s="10">
        <v>4.8600000000000003</v>
      </c>
      <c r="Y137" s="20">
        <v>4.5</v>
      </c>
    </row>
    <row r="138" spans="1:25" x14ac:dyDescent="0.3">
      <c r="A138" s="6">
        <v>40664</v>
      </c>
      <c r="B138" s="7">
        <v>3314.58</v>
      </c>
      <c r="C138" s="8">
        <v>0.47</v>
      </c>
      <c r="D138" s="11">
        <f t="shared" si="8"/>
        <v>162.49857170217723</v>
      </c>
      <c r="E138" s="10">
        <v>-0.24</v>
      </c>
      <c r="F138" s="11">
        <f t="shared" si="9"/>
        <v>152.41634766486771</v>
      </c>
      <c r="G138" s="8">
        <v>0.36</v>
      </c>
      <c r="H138" s="8">
        <v>0.5</v>
      </c>
      <c r="I138" s="8">
        <v>1.6134999999999999</v>
      </c>
      <c r="J138" s="11">
        <v>115.8196774193548</v>
      </c>
      <c r="K138" s="8">
        <v>99.15</v>
      </c>
      <c r="L138" s="8">
        <v>224.81</v>
      </c>
      <c r="M138" s="8">
        <v>0.99</v>
      </c>
      <c r="N138" s="11">
        <v>2.1785000000000001</v>
      </c>
      <c r="O138" s="11">
        <f t="shared" si="7"/>
        <v>6.8395685104429255E-2</v>
      </c>
      <c r="P138" s="11">
        <f t="shared" si="10"/>
        <v>175.3906728472607</v>
      </c>
      <c r="Q138" s="13">
        <v>0.85</v>
      </c>
      <c r="R138" s="11">
        <f t="shared" si="11"/>
        <v>146.25760643290207</v>
      </c>
      <c r="S138" s="13">
        <v>-11.34</v>
      </c>
      <c r="T138" s="11">
        <f t="shared" si="13"/>
        <v>166.66599187277436</v>
      </c>
      <c r="U138" s="13">
        <v>-0.03</v>
      </c>
      <c r="V138" s="11">
        <f t="shared" si="12"/>
        <v>149.49538530621189</v>
      </c>
      <c r="W138" s="8">
        <v>12.55</v>
      </c>
      <c r="X138" s="8">
        <v>4.88</v>
      </c>
      <c r="Y138" s="20">
        <v>4.5</v>
      </c>
    </row>
    <row r="139" spans="1:25" x14ac:dyDescent="0.3">
      <c r="A139" s="6">
        <v>40695</v>
      </c>
      <c r="B139" s="14">
        <v>3319.55</v>
      </c>
      <c r="C139" s="10">
        <v>0.15</v>
      </c>
      <c r="D139" s="11">
        <f t="shared" si="8"/>
        <v>162.7423195597305</v>
      </c>
      <c r="E139" s="8">
        <v>-0.61</v>
      </c>
      <c r="F139" s="11">
        <f t="shared" si="9"/>
        <v>151.48660794411202</v>
      </c>
      <c r="G139" s="10">
        <v>0.19</v>
      </c>
      <c r="H139" s="10">
        <v>0.32</v>
      </c>
      <c r="I139" s="10">
        <v>1.587</v>
      </c>
      <c r="J139" s="11">
        <v>115.0056666666667</v>
      </c>
      <c r="K139" s="10">
        <v>99.58</v>
      </c>
      <c r="L139" s="10">
        <v>224.81</v>
      </c>
      <c r="M139" s="10">
        <v>0.96</v>
      </c>
      <c r="N139" s="11">
        <v>2.1793800000000001</v>
      </c>
      <c r="O139" s="11">
        <f t="shared" si="7"/>
        <v>4.0378456258201502E-2</v>
      </c>
      <c r="P139" s="11">
        <f t="shared" si="10"/>
        <v>175.46149289337731</v>
      </c>
      <c r="Q139" s="13">
        <v>-3.94</v>
      </c>
      <c r="R139" s="11">
        <f t="shared" si="11"/>
        <v>140.49505673944572</v>
      </c>
      <c r="S139" s="13">
        <v>-8.84</v>
      </c>
      <c r="T139" s="11">
        <f t="shared" si="13"/>
        <v>151.93271819122111</v>
      </c>
      <c r="U139" s="13">
        <v>-0.15</v>
      </c>
      <c r="V139" s="11">
        <f t="shared" si="12"/>
        <v>149.27114222825256</v>
      </c>
      <c r="W139" s="10">
        <v>12.15</v>
      </c>
      <c r="X139" s="10">
        <v>4.74</v>
      </c>
      <c r="Y139" s="20">
        <v>4.5</v>
      </c>
    </row>
    <row r="140" spans="1:25" x14ac:dyDescent="0.3">
      <c r="A140" s="6">
        <v>40725</v>
      </c>
      <c r="B140" s="7">
        <v>3324.86</v>
      </c>
      <c r="C140" s="8">
        <v>0.16</v>
      </c>
      <c r="D140" s="11">
        <f t="shared" si="8"/>
        <v>163.00270727102608</v>
      </c>
      <c r="E140" s="10">
        <v>0.46</v>
      </c>
      <c r="F140" s="11">
        <f t="shared" si="9"/>
        <v>152.18344634065494</v>
      </c>
      <c r="G140" s="8">
        <v>-0.04</v>
      </c>
      <c r="H140" s="8">
        <v>0.23</v>
      </c>
      <c r="I140" s="8">
        <v>1.5639000000000001</v>
      </c>
      <c r="J140" s="11">
        <v>116.05903225806451</v>
      </c>
      <c r="K140" s="8">
        <v>99.68</v>
      </c>
      <c r="L140" s="8">
        <v>225.4</v>
      </c>
      <c r="M140" s="8">
        <v>0.97</v>
      </c>
      <c r="N140" s="11">
        <v>2.18024</v>
      </c>
      <c r="O140" s="11">
        <f t="shared" si="7"/>
        <v>3.9445198693715412E-2</v>
      </c>
      <c r="P140" s="11">
        <f t="shared" si="10"/>
        <v>175.53070402788006</v>
      </c>
      <c r="Q140" s="13">
        <v>0.15</v>
      </c>
      <c r="R140" s="11">
        <f t="shared" si="11"/>
        <v>140.70579932455487</v>
      </c>
      <c r="S140" s="13">
        <v>4.01</v>
      </c>
      <c r="T140" s="11">
        <f t="shared" si="13"/>
        <v>158.02522019068908</v>
      </c>
      <c r="U140" s="13">
        <v>-0.18</v>
      </c>
      <c r="V140" s="11">
        <f t="shared" si="12"/>
        <v>149.0024541722417</v>
      </c>
      <c r="W140" s="8">
        <v>12.28</v>
      </c>
      <c r="X140" s="8">
        <v>5.35</v>
      </c>
      <c r="Y140" s="20">
        <v>4.5</v>
      </c>
    </row>
    <row r="141" spans="1:25" x14ac:dyDescent="0.3">
      <c r="A141" s="6">
        <v>40756</v>
      </c>
      <c r="B141" s="14">
        <v>3337.16</v>
      </c>
      <c r="C141" s="10">
        <v>0.37</v>
      </c>
      <c r="D141" s="11">
        <f t="shared" si="8"/>
        <v>163.60581728792889</v>
      </c>
      <c r="E141" s="8">
        <v>-0.11</v>
      </c>
      <c r="F141" s="11">
        <f t="shared" si="9"/>
        <v>152.01604454968023</v>
      </c>
      <c r="G141" s="10">
        <v>0.55000000000000004</v>
      </c>
      <c r="H141" s="10">
        <v>0.47</v>
      </c>
      <c r="I141" s="10">
        <v>1.597</v>
      </c>
      <c r="J141" s="11">
        <v>110.4009677419355</v>
      </c>
      <c r="K141" s="10">
        <v>99.57</v>
      </c>
      <c r="L141" s="10">
        <v>226.11</v>
      </c>
      <c r="M141" s="10">
        <v>1.07</v>
      </c>
      <c r="N141" s="11">
        <v>2.1827299999999998</v>
      </c>
      <c r="O141" s="11">
        <f t="shared" si="7"/>
        <v>0.11407732518451122</v>
      </c>
      <c r="P141" s="11">
        <f t="shared" si="10"/>
        <v>175.7309447599126</v>
      </c>
      <c r="Q141" s="13">
        <v>-0.14000000000000001</v>
      </c>
      <c r="R141" s="11">
        <f t="shared" si="11"/>
        <v>140.50881120550051</v>
      </c>
      <c r="S141" s="13">
        <v>0.3</v>
      </c>
      <c r="T141" s="11">
        <f t="shared" si="13"/>
        <v>158.49929585126114</v>
      </c>
      <c r="U141" s="13">
        <v>0.02</v>
      </c>
      <c r="V141" s="11">
        <f t="shared" si="12"/>
        <v>149.03225466307615</v>
      </c>
      <c r="W141" s="10">
        <v>13.62</v>
      </c>
      <c r="X141" s="10">
        <v>5.47</v>
      </c>
      <c r="Y141" s="20">
        <v>4.5</v>
      </c>
    </row>
    <row r="142" spans="1:25" x14ac:dyDescent="0.3">
      <c r="A142" s="6">
        <v>40787</v>
      </c>
      <c r="B142" s="7">
        <v>3354.85</v>
      </c>
      <c r="C142" s="8">
        <v>0.53</v>
      </c>
      <c r="D142" s="11">
        <f t="shared" si="8"/>
        <v>164.47292811955492</v>
      </c>
      <c r="E142" s="10">
        <v>0.78</v>
      </c>
      <c r="F142" s="11">
        <f t="shared" si="9"/>
        <v>153.20176969716775</v>
      </c>
      <c r="G142" s="8">
        <v>0.52</v>
      </c>
      <c r="H142" s="8">
        <v>0.47</v>
      </c>
      <c r="I142" s="8">
        <v>1.7498</v>
      </c>
      <c r="J142" s="11">
        <v>114.0946666666667</v>
      </c>
      <c r="K142" s="8">
        <v>99.44</v>
      </c>
      <c r="L142" s="8">
        <v>226.6</v>
      </c>
      <c r="M142" s="8">
        <v>0.94</v>
      </c>
      <c r="N142" s="11">
        <v>2.1870400000000001</v>
      </c>
      <c r="O142" s="11">
        <f t="shared" si="7"/>
        <v>0.1970700124369128</v>
      </c>
      <c r="P142" s="11">
        <f t="shared" si="10"/>
        <v>176.07725775460648</v>
      </c>
      <c r="Q142" s="13">
        <v>0.51</v>
      </c>
      <c r="R142" s="11">
        <f t="shared" si="11"/>
        <v>141.22540614264855</v>
      </c>
      <c r="S142" s="13">
        <v>3.01</v>
      </c>
      <c r="T142" s="11">
        <f t="shared" si="13"/>
        <v>163.2701246563841</v>
      </c>
      <c r="U142" s="13">
        <v>0</v>
      </c>
      <c r="V142" s="11">
        <f t="shared" si="12"/>
        <v>149.03225466307615</v>
      </c>
      <c r="W142" s="8">
        <v>11.88</v>
      </c>
      <c r="X142" s="8">
        <v>5.8</v>
      </c>
      <c r="Y142" s="20">
        <v>4.5</v>
      </c>
    </row>
    <row r="143" spans="1:25" x14ac:dyDescent="0.3">
      <c r="A143" s="6">
        <v>40817</v>
      </c>
      <c r="B143" s="14">
        <v>3369.28</v>
      </c>
      <c r="C143" s="10">
        <v>0.43</v>
      </c>
      <c r="D143" s="11">
        <f t="shared" si="8"/>
        <v>165.18016171046901</v>
      </c>
      <c r="E143" s="8">
        <v>0.48</v>
      </c>
      <c r="F143" s="11">
        <f t="shared" si="9"/>
        <v>153.93713819171415</v>
      </c>
      <c r="G143" s="10">
        <v>0.39</v>
      </c>
      <c r="H143" s="10">
        <v>0.44</v>
      </c>
      <c r="I143" s="10">
        <v>1.7726</v>
      </c>
      <c r="J143" s="11">
        <v>109.3338709677419</v>
      </c>
      <c r="K143" s="10">
        <v>99.41</v>
      </c>
      <c r="L143" s="10">
        <v>226.75</v>
      </c>
      <c r="M143" s="10">
        <v>0.88</v>
      </c>
      <c r="N143" s="11">
        <v>2.19068</v>
      </c>
      <c r="O143" s="11">
        <f t="shared" si="7"/>
        <v>0.16615845308305482</v>
      </c>
      <c r="P143" s="11">
        <f t="shared" si="10"/>
        <v>176.36982500232259</v>
      </c>
      <c r="Q143" s="13">
        <v>0.17</v>
      </c>
      <c r="R143" s="11">
        <f t="shared" si="11"/>
        <v>141.46548933309106</v>
      </c>
      <c r="S143" s="13">
        <v>-0.36</v>
      </c>
      <c r="T143" s="11">
        <f t="shared" si="13"/>
        <v>162.68235220762111</v>
      </c>
      <c r="U143" s="13">
        <v>-0.24</v>
      </c>
      <c r="V143" s="11">
        <f t="shared" si="12"/>
        <v>148.67457725188476</v>
      </c>
      <c r="W143" s="10">
        <v>11.09</v>
      </c>
      <c r="X143" s="10">
        <v>5.56</v>
      </c>
      <c r="Y143" s="20">
        <v>4.5</v>
      </c>
    </row>
    <row r="144" spans="1:25" x14ac:dyDescent="0.3">
      <c r="A144" s="6">
        <v>40848</v>
      </c>
      <c r="B144" s="7">
        <v>3386.8</v>
      </c>
      <c r="C144" s="8">
        <v>0.52</v>
      </c>
      <c r="D144" s="11">
        <f t="shared" si="8"/>
        <v>166.03909855136345</v>
      </c>
      <c r="E144" s="10">
        <v>0.01</v>
      </c>
      <c r="F144" s="11">
        <f t="shared" si="9"/>
        <v>153.95253190553333</v>
      </c>
      <c r="G144" s="8">
        <v>0.56999999999999995</v>
      </c>
      <c r="H144" s="8">
        <v>0.67</v>
      </c>
      <c r="I144" s="8">
        <v>1.7905</v>
      </c>
      <c r="J144" s="11">
        <v>110.7413793103448</v>
      </c>
      <c r="K144" s="8">
        <v>99.89</v>
      </c>
      <c r="L144" s="8">
        <v>227.17</v>
      </c>
      <c r="M144" s="8">
        <v>0.86</v>
      </c>
      <c r="N144" s="11">
        <v>2.1936499999999999</v>
      </c>
      <c r="O144" s="11">
        <f t="shared" si="7"/>
        <v>0.1353907870444199</v>
      </c>
      <c r="P144" s="11">
        <f t="shared" si="10"/>
        <v>176.6086134965021</v>
      </c>
      <c r="Q144" s="13">
        <v>-0.25</v>
      </c>
      <c r="R144" s="11">
        <f t="shared" si="11"/>
        <v>141.11182560975834</v>
      </c>
      <c r="S144" s="13">
        <v>1.28</v>
      </c>
      <c r="T144" s="11">
        <f t="shared" si="13"/>
        <v>164.76468631587866</v>
      </c>
      <c r="U144" s="13">
        <v>0.04</v>
      </c>
      <c r="V144" s="11">
        <f t="shared" si="12"/>
        <v>148.73404708278551</v>
      </c>
      <c r="W144" s="8">
        <v>10.82</v>
      </c>
      <c r="X144" s="8">
        <v>5.53</v>
      </c>
      <c r="Y144" s="20">
        <v>4.5</v>
      </c>
    </row>
    <row r="145" spans="1:25" x14ac:dyDescent="0.3">
      <c r="A145" s="6">
        <v>40878</v>
      </c>
      <c r="B145" s="14">
        <v>3403.73</v>
      </c>
      <c r="C145" s="10">
        <v>0.5</v>
      </c>
      <c r="D145" s="11">
        <f t="shared" si="8"/>
        <v>166.86929404412027</v>
      </c>
      <c r="E145" s="8">
        <v>0</v>
      </c>
      <c r="F145" s="11">
        <f t="shared" si="9"/>
        <v>153.95253190553333</v>
      </c>
      <c r="G145" s="10">
        <v>0.51</v>
      </c>
      <c r="H145" s="10">
        <v>0.73</v>
      </c>
      <c r="I145" s="10">
        <v>1.8369</v>
      </c>
      <c r="J145" s="11">
        <v>108.12033333333331</v>
      </c>
      <c r="K145" s="10">
        <v>98.93</v>
      </c>
      <c r="L145" s="10">
        <v>227.22</v>
      </c>
      <c r="M145" s="10">
        <v>0.91</v>
      </c>
      <c r="N145" s="11">
        <v>2.1964199999999998</v>
      </c>
      <c r="O145" s="11">
        <f t="shared" si="7"/>
        <v>0.12611431329162634</v>
      </c>
      <c r="P145" s="11">
        <f t="shared" si="10"/>
        <v>176.83134223662708</v>
      </c>
      <c r="Q145" s="13">
        <v>0.3</v>
      </c>
      <c r="R145" s="11">
        <f t="shared" si="11"/>
        <v>141.53516108658761</v>
      </c>
      <c r="S145" s="13">
        <v>0.74</v>
      </c>
      <c r="T145" s="11">
        <f t="shared" si="13"/>
        <v>165.98394499461617</v>
      </c>
      <c r="U145" s="13">
        <v>0.59</v>
      </c>
      <c r="V145" s="11">
        <f t="shared" si="12"/>
        <v>149.61157796057395</v>
      </c>
      <c r="W145" s="10">
        <v>11.48</v>
      </c>
      <c r="X145" s="10">
        <v>5.35</v>
      </c>
      <c r="Y145" s="20">
        <v>4.5</v>
      </c>
    </row>
    <row r="146" spans="1:25" x14ac:dyDescent="0.3">
      <c r="A146" s="6">
        <v>40909</v>
      </c>
      <c r="B146" s="7">
        <v>3422.79</v>
      </c>
      <c r="C146" s="8">
        <v>0.56000000000000005</v>
      </c>
      <c r="D146" s="11">
        <f t="shared" si="8"/>
        <v>167.80376209076735</v>
      </c>
      <c r="E146" s="10">
        <v>0.69</v>
      </c>
      <c r="F146" s="11">
        <f t="shared" si="9"/>
        <v>155.01480437568151</v>
      </c>
      <c r="G146" s="8">
        <v>0</v>
      </c>
      <c r="H146" s="8">
        <v>1.1299999999999999</v>
      </c>
      <c r="I146" s="8">
        <v>1.7897000000000001</v>
      </c>
      <c r="J146" s="11">
        <v>110.4424137931034</v>
      </c>
      <c r="K146" s="8">
        <v>97.7</v>
      </c>
      <c r="L146" s="8">
        <v>227.84</v>
      </c>
      <c r="M146" s="8">
        <v>0.89</v>
      </c>
      <c r="N146" s="11">
        <v>2.1960199999999999</v>
      </c>
      <c r="O146" s="11">
        <f t="shared" si="7"/>
        <v>-1.8214770357280717E-2</v>
      </c>
      <c r="P146" s="11">
        <f t="shared" si="10"/>
        <v>176.79913281371898</v>
      </c>
      <c r="Q146" s="13">
        <v>-0.35</v>
      </c>
      <c r="R146" s="11">
        <f t="shared" si="11"/>
        <v>141.03978802278456</v>
      </c>
      <c r="S146" s="13">
        <v>-1.25</v>
      </c>
      <c r="T146" s="11">
        <f t="shared" si="13"/>
        <v>163.90914568218346</v>
      </c>
      <c r="U146" s="13">
        <v>0.3</v>
      </c>
      <c r="V146" s="11">
        <f t="shared" si="12"/>
        <v>150.06041269445566</v>
      </c>
      <c r="W146" s="8">
        <v>11.22</v>
      </c>
      <c r="X146" s="8">
        <v>5.3</v>
      </c>
      <c r="Y146" s="22">
        <v>4.5</v>
      </c>
    </row>
    <row r="147" spans="1:25" x14ac:dyDescent="0.3">
      <c r="A147" s="6">
        <v>40940</v>
      </c>
      <c r="B147" s="14">
        <v>3438.19</v>
      </c>
      <c r="C147" s="10">
        <v>0.45</v>
      </c>
      <c r="D147" s="11">
        <f t="shared" si="8"/>
        <v>168.55887902017579</v>
      </c>
      <c r="E147" s="8">
        <v>-0.33</v>
      </c>
      <c r="F147" s="11">
        <f t="shared" si="9"/>
        <v>154.50325552124175</v>
      </c>
      <c r="G147" s="10">
        <v>-0.21</v>
      </c>
      <c r="H147" s="10">
        <v>1.17</v>
      </c>
      <c r="I147" s="10">
        <v>1.7183999999999999</v>
      </c>
      <c r="J147" s="11">
        <v>118.2344827586207</v>
      </c>
      <c r="K147" s="10">
        <v>98.59</v>
      </c>
      <c r="L147" s="10">
        <v>228.33</v>
      </c>
      <c r="M147" s="10">
        <v>0.75</v>
      </c>
      <c r="N147" s="11">
        <v>2.1972800000000001</v>
      </c>
      <c r="O147" s="11">
        <f t="shared" si="7"/>
        <v>5.734362484527511E-2</v>
      </c>
      <c r="P147" s="11">
        <f t="shared" si="10"/>
        <v>176.90051584516939</v>
      </c>
      <c r="Q147" s="13">
        <v>-0.4</v>
      </c>
      <c r="R147" s="11">
        <f t="shared" si="11"/>
        <v>140.47562887069341</v>
      </c>
      <c r="S147" s="13">
        <v>-2.87</v>
      </c>
      <c r="T147" s="11">
        <f t="shared" si="13"/>
        <v>159.20495320110479</v>
      </c>
      <c r="U147" s="13">
        <v>0.04</v>
      </c>
      <c r="V147" s="11">
        <f t="shared" si="12"/>
        <v>150.12043685953344</v>
      </c>
      <c r="W147" s="10">
        <v>9.3800000000000008</v>
      </c>
      <c r="X147" s="10">
        <v>5.26</v>
      </c>
      <c r="Y147" s="22">
        <v>4.5</v>
      </c>
    </row>
    <row r="148" spans="1:25" x14ac:dyDescent="0.3">
      <c r="A148" s="6">
        <v>40969</v>
      </c>
      <c r="B148" s="7">
        <v>3445.41</v>
      </c>
      <c r="C148" s="8">
        <v>0.21</v>
      </c>
      <c r="D148" s="11">
        <f t="shared" si="8"/>
        <v>168.91285266611817</v>
      </c>
      <c r="E148" s="10">
        <v>0.16</v>
      </c>
      <c r="F148" s="11">
        <f t="shared" si="9"/>
        <v>154.75046073007573</v>
      </c>
      <c r="G148" s="8">
        <v>-0.08</v>
      </c>
      <c r="H148" s="8">
        <v>0.49</v>
      </c>
      <c r="I148" s="8">
        <v>1.7952999999999999</v>
      </c>
      <c r="J148" s="11">
        <v>125.32838709677419</v>
      </c>
      <c r="K148" s="8">
        <v>98.39</v>
      </c>
      <c r="L148" s="8">
        <v>228.81</v>
      </c>
      <c r="M148" s="8">
        <v>0.82</v>
      </c>
      <c r="N148" s="11">
        <v>2.20011</v>
      </c>
      <c r="O148" s="11">
        <f t="shared" si="7"/>
        <v>0.12862993213975157</v>
      </c>
      <c r="P148" s="11">
        <f t="shared" si="10"/>
        <v>177.12806285865591</v>
      </c>
      <c r="Q148" s="13">
        <v>0.11</v>
      </c>
      <c r="R148" s="11">
        <f t="shared" si="11"/>
        <v>140.63015206245117</v>
      </c>
      <c r="S148" s="13">
        <v>1.88</v>
      </c>
      <c r="T148" s="11">
        <f t="shared" si="13"/>
        <v>162.19800632128556</v>
      </c>
      <c r="U148" s="13">
        <v>0.36</v>
      </c>
      <c r="V148" s="11">
        <f t="shared" si="12"/>
        <v>150.66087043222777</v>
      </c>
      <c r="W148" s="8">
        <v>10.3</v>
      </c>
      <c r="X148" s="8">
        <v>5.43</v>
      </c>
      <c r="Y148" s="22">
        <v>4.5</v>
      </c>
    </row>
    <row r="149" spans="1:25" x14ac:dyDescent="0.3">
      <c r="A149" s="6">
        <v>41000</v>
      </c>
      <c r="B149" s="14">
        <v>3467.46</v>
      </c>
      <c r="C149" s="10">
        <v>0.64</v>
      </c>
      <c r="D149" s="11">
        <f t="shared" si="8"/>
        <v>169.99389492318133</v>
      </c>
      <c r="E149" s="8">
        <v>0.1</v>
      </c>
      <c r="F149" s="11">
        <f t="shared" si="9"/>
        <v>154.9052111908058</v>
      </c>
      <c r="G149" s="10">
        <v>0.55000000000000004</v>
      </c>
      <c r="H149" s="10">
        <v>0.82</v>
      </c>
      <c r="I149" s="10">
        <v>1.8548</v>
      </c>
      <c r="J149" s="11">
        <v>120.247</v>
      </c>
      <c r="K149" s="10">
        <v>98.89</v>
      </c>
      <c r="L149" s="10">
        <v>229.19</v>
      </c>
      <c r="M149" s="10">
        <v>0.71</v>
      </c>
      <c r="N149" s="11">
        <v>2.21014</v>
      </c>
      <c r="O149" s="11">
        <f t="shared" si="7"/>
        <v>0.45381740523224701</v>
      </c>
      <c r="P149" s="11">
        <f t="shared" si="10"/>
        <v>177.93190083745921</v>
      </c>
      <c r="Q149" s="13">
        <v>-0.27</v>
      </c>
      <c r="R149" s="11">
        <f t="shared" si="11"/>
        <v>140.25045065188255</v>
      </c>
      <c r="S149" s="13">
        <v>0.81</v>
      </c>
      <c r="T149" s="11">
        <f t="shared" si="13"/>
        <v>163.51181017248797</v>
      </c>
      <c r="U149" s="13">
        <v>0.08</v>
      </c>
      <c r="V149" s="11">
        <f t="shared" si="12"/>
        <v>150.78139912857355</v>
      </c>
      <c r="W149" s="10">
        <v>8.86</v>
      </c>
      <c r="X149" s="10">
        <v>5.57</v>
      </c>
      <c r="Y149" s="22">
        <v>4.5</v>
      </c>
    </row>
    <row r="150" spans="1:25" x14ac:dyDescent="0.3">
      <c r="A150" s="6">
        <v>41030</v>
      </c>
      <c r="B150" s="7">
        <v>3479.94</v>
      </c>
      <c r="C150" s="8">
        <v>0.36</v>
      </c>
      <c r="D150" s="11">
        <f t="shared" si="8"/>
        <v>170.60587294490477</v>
      </c>
      <c r="E150" s="10">
        <v>-0.57999999999999996</v>
      </c>
      <c r="F150" s="11">
        <f t="shared" si="9"/>
        <v>154.00676096589913</v>
      </c>
      <c r="G150" s="8">
        <v>0.49</v>
      </c>
      <c r="H150" s="8">
        <v>0.27</v>
      </c>
      <c r="I150" s="8">
        <v>1.986</v>
      </c>
      <c r="J150" s="11">
        <v>111.31741935483871</v>
      </c>
      <c r="K150" s="8">
        <v>100.02</v>
      </c>
      <c r="L150" s="8">
        <v>228.71</v>
      </c>
      <c r="M150" s="8">
        <v>0.74</v>
      </c>
      <c r="N150" s="11">
        <v>2.2196400000000001</v>
      </c>
      <c r="O150" s="11">
        <f t="shared" si="7"/>
        <v>0.42799733290083364</v>
      </c>
      <c r="P150" s="11">
        <f t="shared" si="10"/>
        <v>178.6934446274233</v>
      </c>
      <c r="Q150" s="13">
        <v>-0.52</v>
      </c>
      <c r="R150" s="11">
        <f t="shared" si="11"/>
        <v>139.52114830849277</v>
      </c>
      <c r="S150" s="13">
        <v>-1.34</v>
      </c>
      <c r="T150" s="11">
        <f t="shared" si="13"/>
        <v>161.32075191617662</v>
      </c>
      <c r="U150" s="13">
        <v>0.5</v>
      </c>
      <c r="V150" s="11">
        <f t="shared" si="12"/>
        <v>151.53530612421642</v>
      </c>
      <c r="W150" s="8">
        <v>9.25</v>
      </c>
      <c r="X150" s="8">
        <v>5.52</v>
      </c>
      <c r="Y150" s="22">
        <v>4.5</v>
      </c>
    </row>
    <row r="151" spans="1:25" x14ac:dyDescent="0.3">
      <c r="A151" s="6">
        <v>41061</v>
      </c>
      <c r="B151" s="14">
        <v>3482.72</v>
      </c>
      <c r="C151" s="10">
        <v>0.08</v>
      </c>
      <c r="D151" s="11">
        <f t="shared" si="8"/>
        <v>170.7423576432607</v>
      </c>
      <c r="E151" s="8">
        <v>-1.18</v>
      </c>
      <c r="F151" s="11">
        <f t="shared" si="9"/>
        <v>152.18948118650152</v>
      </c>
      <c r="G151" s="10">
        <v>-0.31</v>
      </c>
      <c r="H151" s="10">
        <v>0.39</v>
      </c>
      <c r="I151" s="10">
        <v>2.0491999999999999</v>
      </c>
      <c r="J151" s="11">
        <v>96.521666666666675</v>
      </c>
      <c r="K151" s="10">
        <v>100.75</v>
      </c>
      <c r="L151" s="10">
        <v>228.52</v>
      </c>
      <c r="M151" s="10">
        <v>0.64</v>
      </c>
      <c r="N151" s="11">
        <v>2.2207300000000001</v>
      </c>
      <c r="O151" s="11">
        <f t="shared" si="7"/>
        <v>4.9082959207109159E-2</v>
      </c>
      <c r="P151" s="11">
        <f t="shared" si="10"/>
        <v>178.78115265795557</v>
      </c>
      <c r="Q151" s="13">
        <v>-0.41</v>
      </c>
      <c r="R151" s="11">
        <f t="shared" si="11"/>
        <v>138.94911160042795</v>
      </c>
      <c r="S151" s="13">
        <v>-1.24</v>
      </c>
      <c r="T151" s="11">
        <f t="shared" si="13"/>
        <v>159.32037459241602</v>
      </c>
      <c r="U151" s="13">
        <v>-0.04</v>
      </c>
      <c r="V151" s="11">
        <f t="shared" si="12"/>
        <v>151.47469200176673</v>
      </c>
      <c r="W151" s="10">
        <v>7.96</v>
      </c>
      <c r="X151" s="10">
        <v>5.38</v>
      </c>
      <c r="Y151" s="22">
        <v>4.5</v>
      </c>
    </row>
    <row r="152" spans="1:25" x14ac:dyDescent="0.3">
      <c r="A152" s="6">
        <v>41091</v>
      </c>
      <c r="B152" s="7">
        <v>3497.7</v>
      </c>
      <c r="C152" s="8">
        <v>0.43</v>
      </c>
      <c r="D152" s="11">
        <f t="shared" si="8"/>
        <v>171.47654978112672</v>
      </c>
      <c r="E152" s="10">
        <v>-0.03</v>
      </c>
      <c r="F152" s="11">
        <f t="shared" si="9"/>
        <v>152.14382434214556</v>
      </c>
      <c r="G152" s="8">
        <v>0.06</v>
      </c>
      <c r="H152" s="8">
        <v>0.9</v>
      </c>
      <c r="I152" s="8">
        <v>2.0287000000000002</v>
      </c>
      <c r="J152" s="11">
        <v>101.398275862069</v>
      </c>
      <c r="K152" s="8">
        <v>100.92</v>
      </c>
      <c r="L152" s="8">
        <v>228.59</v>
      </c>
      <c r="M152" s="8">
        <v>0.68</v>
      </c>
      <c r="N152" s="11">
        <v>2.2214299999999998</v>
      </c>
      <c r="O152" s="11">
        <f t="shared" si="7"/>
        <v>3.1511233754820137E-2</v>
      </c>
      <c r="P152" s="11">
        <f t="shared" si="10"/>
        <v>178.83748880487917</v>
      </c>
      <c r="Q152" s="13">
        <v>-0.43</v>
      </c>
      <c r="R152" s="11">
        <f t="shared" si="11"/>
        <v>138.35163042054612</v>
      </c>
      <c r="S152" s="13">
        <v>-2</v>
      </c>
      <c r="T152" s="11">
        <f t="shared" si="13"/>
        <v>156.1339671005677</v>
      </c>
      <c r="U152" s="13">
        <v>1.43</v>
      </c>
      <c r="V152" s="11">
        <f t="shared" si="12"/>
        <v>153.640780097392</v>
      </c>
      <c r="W152" s="8">
        <v>8.4700000000000006</v>
      </c>
      <c r="X152" s="8">
        <v>5.58</v>
      </c>
      <c r="Y152" s="22">
        <v>4.5</v>
      </c>
    </row>
    <row r="153" spans="1:25" x14ac:dyDescent="0.3">
      <c r="A153" s="6">
        <v>41122</v>
      </c>
      <c r="B153" s="14">
        <v>3512.04</v>
      </c>
      <c r="C153" s="10">
        <v>0.41</v>
      </c>
      <c r="D153" s="11">
        <f t="shared" si="8"/>
        <v>172.17960363522934</v>
      </c>
      <c r="E153" s="8">
        <v>0.06</v>
      </c>
      <c r="F153" s="11">
        <f t="shared" si="9"/>
        <v>152.23511063675085</v>
      </c>
      <c r="G153" s="10">
        <v>0.44</v>
      </c>
      <c r="H153" s="10">
        <v>0.55000000000000004</v>
      </c>
      <c r="I153" s="10">
        <v>2.0293999999999999</v>
      </c>
      <c r="J153" s="11">
        <v>112.8783870967742</v>
      </c>
      <c r="K153" s="10">
        <v>101.25</v>
      </c>
      <c r="L153" s="10">
        <v>229.92</v>
      </c>
      <c r="M153" s="10">
        <v>0.69</v>
      </c>
      <c r="N153" s="11">
        <v>2.2223700000000002</v>
      </c>
      <c r="O153" s="11">
        <f t="shared" si="7"/>
        <v>4.2297187237066054E-2</v>
      </c>
      <c r="P153" s="11">
        <f t="shared" si="10"/>
        <v>178.91313203236905</v>
      </c>
      <c r="Q153" s="13">
        <v>-0.09</v>
      </c>
      <c r="R153" s="11">
        <f t="shared" si="11"/>
        <v>138.22711395316762</v>
      </c>
      <c r="S153" s="13">
        <v>-0.82</v>
      </c>
      <c r="T153" s="11">
        <f t="shared" si="13"/>
        <v>154.85366857034305</v>
      </c>
      <c r="U153" s="13">
        <v>1.86</v>
      </c>
      <c r="V153" s="11">
        <f t="shared" si="12"/>
        <v>156.49849860720349</v>
      </c>
      <c r="W153" s="10">
        <v>8.6</v>
      </c>
      <c r="X153" s="10">
        <v>5.68</v>
      </c>
      <c r="Y153" s="22">
        <v>4.5</v>
      </c>
    </row>
    <row r="154" spans="1:25" x14ac:dyDescent="0.3">
      <c r="A154" s="6">
        <v>41153</v>
      </c>
      <c r="B154" s="7">
        <v>3532.06</v>
      </c>
      <c r="C154" s="8">
        <v>0.56999999999999995</v>
      </c>
      <c r="D154" s="11">
        <f t="shared" si="8"/>
        <v>173.16102737595014</v>
      </c>
      <c r="E154" s="10">
        <v>-0.08</v>
      </c>
      <c r="F154" s="11">
        <f t="shared" si="9"/>
        <v>152.11332254824146</v>
      </c>
      <c r="G154" s="8">
        <v>0.92</v>
      </c>
      <c r="H154" s="8">
        <v>0.43</v>
      </c>
      <c r="I154" s="8">
        <v>2.0280999999999998</v>
      </c>
      <c r="J154" s="11">
        <v>112.78733333333329</v>
      </c>
      <c r="K154" s="8">
        <v>100.79</v>
      </c>
      <c r="L154" s="8">
        <v>231.02</v>
      </c>
      <c r="M154" s="8">
        <v>0.54</v>
      </c>
      <c r="N154" s="11">
        <v>2.22492</v>
      </c>
      <c r="O154" s="11">
        <f t="shared" si="7"/>
        <v>0.11461086241302296</v>
      </c>
      <c r="P154" s="11">
        <f t="shared" si="10"/>
        <v>179.1181859159615</v>
      </c>
      <c r="Q154" s="13">
        <v>-0.13</v>
      </c>
      <c r="R154" s="11">
        <f t="shared" si="11"/>
        <v>138.04741870502849</v>
      </c>
      <c r="S154" s="13">
        <v>0.26</v>
      </c>
      <c r="T154" s="11">
        <f t="shared" si="13"/>
        <v>155.25628810862594</v>
      </c>
      <c r="U154" s="13">
        <v>0.43</v>
      </c>
      <c r="V154" s="11">
        <f t="shared" si="12"/>
        <v>157.17144215121445</v>
      </c>
      <c r="W154" s="8">
        <v>6.68</v>
      </c>
      <c r="X154" s="8">
        <v>5.64</v>
      </c>
      <c r="Y154" s="22">
        <v>4.5</v>
      </c>
    </row>
    <row r="155" spans="1:25" x14ac:dyDescent="0.3">
      <c r="A155" s="6">
        <v>41183</v>
      </c>
      <c r="B155" s="14">
        <v>3552.9</v>
      </c>
      <c r="C155" s="10">
        <v>0.59</v>
      </c>
      <c r="D155" s="11">
        <f t="shared" si="8"/>
        <v>174.18267743746824</v>
      </c>
      <c r="E155" s="8">
        <v>0.24</v>
      </c>
      <c r="F155" s="11">
        <f t="shared" si="9"/>
        <v>152.47839452235723</v>
      </c>
      <c r="G155" s="10">
        <v>1</v>
      </c>
      <c r="H155" s="10">
        <v>0.43</v>
      </c>
      <c r="I155" s="10">
        <v>2.0297999999999998</v>
      </c>
      <c r="J155" s="11">
        <v>111.91806451612899</v>
      </c>
      <c r="K155" s="10">
        <v>101.68</v>
      </c>
      <c r="L155" s="10">
        <v>231.64</v>
      </c>
      <c r="M155" s="10">
        <v>0.61</v>
      </c>
      <c r="N155" s="11">
        <v>2.2277399999999998</v>
      </c>
      <c r="O155" s="11">
        <f t="shared" si="7"/>
        <v>0.12658568773734022</v>
      </c>
      <c r="P155" s="11">
        <f t="shared" si="10"/>
        <v>179.34492390346588</v>
      </c>
      <c r="Q155" s="13">
        <v>0.75</v>
      </c>
      <c r="R155" s="11">
        <f t="shared" si="11"/>
        <v>139.08277434531621</v>
      </c>
      <c r="S155" s="13">
        <v>0.04</v>
      </c>
      <c r="T155" s="11">
        <f t="shared" si="13"/>
        <v>155.31839062386939</v>
      </c>
      <c r="U155" s="13">
        <v>0.64</v>
      </c>
      <c r="V155" s="11">
        <f t="shared" si="12"/>
        <v>158.17733938098223</v>
      </c>
      <c r="W155" s="10">
        <v>7.57</v>
      </c>
      <c r="X155" s="10">
        <v>5.47</v>
      </c>
      <c r="Y155" s="22">
        <v>4.5</v>
      </c>
    </row>
    <row r="156" spans="1:25" x14ac:dyDescent="0.3">
      <c r="A156" s="6">
        <v>41214</v>
      </c>
      <c r="B156" s="7">
        <v>3574.22</v>
      </c>
      <c r="C156" s="8">
        <v>0.6</v>
      </c>
      <c r="D156" s="11">
        <f t="shared" si="8"/>
        <v>175.22777350209304</v>
      </c>
      <c r="E156" s="10">
        <v>0.68</v>
      </c>
      <c r="F156" s="11">
        <f t="shared" si="9"/>
        <v>153.51524760510927</v>
      </c>
      <c r="G156" s="8">
        <v>0.67</v>
      </c>
      <c r="H156" s="8">
        <v>0.56999999999999995</v>
      </c>
      <c r="I156" s="8">
        <v>2.0678000000000001</v>
      </c>
      <c r="J156" s="11">
        <v>109.0924137931034</v>
      </c>
      <c r="K156" s="8">
        <v>101.54</v>
      </c>
      <c r="L156" s="8">
        <v>231.25</v>
      </c>
      <c r="M156" s="8">
        <v>0.55000000000000004</v>
      </c>
      <c r="N156" s="11">
        <v>2.2325400000000002</v>
      </c>
      <c r="O156" s="11">
        <f t="shared" ref="O156:O219" si="14">((N156-N155)/N156)*100</f>
        <v>0.21500174688920953</v>
      </c>
      <c r="P156" s="11">
        <f t="shared" si="10"/>
        <v>179.73051862281545</v>
      </c>
      <c r="Q156" s="13">
        <v>1.18</v>
      </c>
      <c r="R156" s="11">
        <f t="shared" si="11"/>
        <v>140.72395108259093</v>
      </c>
      <c r="S156" s="13">
        <v>0.63</v>
      </c>
      <c r="T156" s="11">
        <f t="shared" si="13"/>
        <v>156.29689648479976</v>
      </c>
      <c r="U156" s="13">
        <v>0.37</v>
      </c>
      <c r="V156" s="11">
        <f t="shared" si="12"/>
        <v>158.76259553669186</v>
      </c>
      <c r="W156" s="8">
        <v>6.8</v>
      </c>
      <c r="X156" s="8">
        <v>5.36</v>
      </c>
      <c r="Y156" s="22">
        <v>4.5</v>
      </c>
    </row>
    <row r="157" spans="1:25" x14ac:dyDescent="0.3">
      <c r="A157" s="6">
        <v>41244</v>
      </c>
      <c r="B157" s="14">
        <v>3602.46</v>
      </c>
      <c r="C157" s="10">
        <v>0.79</v>
      </c>
      <c r="D157" s="11">
        <f t="shared" si="8"/>
        <v>176.61207291275957</v>
      </c>
      <c r="E157" s="8">
        <v>0.75</v>
      </c>
      <c r="F157" s="11">
        <f t="shared" si="9"/>
        <v>154.66661196214758</v>
      </c>
      <c r="G157" s="10">
        <v>0.86</v>
      </c>
      <c r="H157" s="10">
        <v>1</v>
      </c>
      <c r="I157" s="10">
        <v>2.0777999999999999</v>
      </c>
      <c r="J157" s="11">
        <v>109.50068965517239</v>
      </c>
      <c r="K157" s="10">
        <v>101.12</v>
      </c>
      <c r="L157" s="10">
        <v>231.22</v>
      </c>
      <c r="M157" s="10">
        <v>0.55000000000000004</v>
      </c>
      <c r="N157" s="11">
        <v>2.2404000000000002</v>
      </c>
      <c r="O157" s="11">
        <f t="shared" si="14"/>
        <v>0.35083020889126842</v>
      </c>
      <c r="P157" s="11">
        <f t="shared" si="10"/>
        <v>180.36106757674125</v>
      </c>
      <c r="Q157" s="13">
        <v>0.18</v>
      </c>
      <c r="R157" s="11">
        <f t="shared" si="11"/>
        <v>140.9772541945396</v>
      </c>
      <c r="S157" s="13">
        <v>2.11</v>
      </c>
      <c r="T157" s="11">
        <f t="shared" si="13"/>
        <v>159.59476100062903</v>
      </c>
      <c r="U157" s="13">
        <v>0.17</v>
      </c>
      <c r="V157" s="11">
        <f t="shared" si="12"/>
        <v>159.03249194910424</v>
      </c>
      <c r="W157" s="10">
        <v>6.8</v>
      </c>
      <c r="X157" s="10">
        <v>5.63</v>
      </c>
      <c r="Y157" s="22">
        <v>4.5</v>
      </c>
    </row>
    <row r="158" spans="1:25" x14ac:dyDescent="0.3">
      <c r="A158" s="6">
        <v>41275</v>
      </c>
      <c r="B158" s="7">
        <v>3633.44</v>
      </c>
      <c r="C158" s="8">
        <v>0.86</v>
      </c>
      <c r="D158" s="11">
        <f t="shared" si="8"/>
        <v>178.1309367398093</v>
      </c>
      <c r="E158" s="10">
        <v>0.75</v>
      </c>
      <c r="F158" s="11">
        <f t="shared" si="9"/>
        <v>155.82661155186369</v>
      </c>
      <c r="G158" s="8">
        <v>1.03</v>
      </c>
      <c r="H158" s="8">
        <v>1.35</v>
      </c>
      <c r="I158" s="8">
        <v>2.0310999999999999</v>
      </c>
      <c r="J158" s="11">
        <v>112.66833333333329</v>
      </c>
      <c r="K158" s="8">
        <v>101.74</v>
      </c>
      <c r="L158" s="8">
        <v>231.68</v>
      </c>
      <c r="M158" s="8">
        <v>0.6</v>
      </c>
      <c r="N158" s="11">
        <v>2.25543</v>
      </c>
      <c r="O158" s="11">
        <f t="shared" si="14"/>
        <v>0.66639177451749232</v>
      </c>
      <c r="P158" s="11">
        <f t="shared" si="10"/>
        <v>181.56297889550459</v>
      </c>
      <c r="Q158" s="13">
        <v>0.27</v>
      </c>
      <c r="R158" s="11">
        <f t="shared" si="11"/>
        <v>141.35789278086486</v>
      </c>
      <c r="S158" s="13">
        <v>1.1100000000000001</v>
      </c>
      <c r="T158" s="11">
        <f t="shared" si="13"/>
        <v>161.36626284773601</v>
      </c>
      <c r="U158" s="13">
        <v>0.56999999999999995</v>
      </c>
      <c r="V158" s="11">
        <f t="shared" si="12"/>
        <v>159.93897715321413</v>
      </c>
      <c r="W158" s="8">
        <v>7.44</v>
      </c>
      <c r="X158" s="8">
        <v>5.7</v>
      </c>
      <c r="Y158" s="20">
        <v>4.5</v>
      </c>
    </row>
    <row r="159" spans="1:25" x14ac:dyDescent="0.3">
      <c r="A159" s="6">
        <v>41306</v>
      </c>
      <c r="B159" s="14">
        <v>3655.24</v>
      </c>
      <c r="C159" s="10">
        <v>0.6</v>
      </c>
      <c r="D159" s="11">
        <f t="shared" si="8"/>
        <v>179.19972236024816</v>
      </c>
      <c r="E159" s="8">
        <v>0.81</v>
      </c>
      <c r="F159" s="11">
        <f t="shared" si="9"/>
        <v>157.0888071054338</v>
      </c>
      <c r="G159" s="10">
        <v>0.63</v>
      </c>
      <c r="H159" s="10">
        <v>1.58</v>
      </c>
      <c r="I159" s="10">
        <v>1.9733000000000001</v>
      </c>
      <c r="J159" s="11">
        <v>116.1226923076923</v>
      </c>
      <c r="K159" s="10">
        <v>100.83</v>
      </c>
      <c r="L159" s="10">
        <v>232.94</v>
      </c>
      <c r="M159" s="10">
        <v>0.49</v>
      </c>
      <c r="N159" s="11">
        <v>2.2786300000000002</v>
      </c>
      <c r="O159" s="11">
        <f t="shared" si="14"/>
        <v>1.0181556461558088</v>
      </c>
      <c r="P159" s="11">
        <f t="shared" si="10"/>
        <v>183.41157261645785</v>
      </c>
      <c r="Q159" s="13">
        <v>4.0999999999999996</v>
      </c>
      <c r="R159" s="11">
        <f t="shared" si="11"/>
        <v>147.15356638488032</v>
      </c>
      <c r="S159" s="13">
        <v>2.16</v>
      </c>
      <c r="T159" s="11">
        <f t="shared" si="13"/>
        <v>164.85177412524712</v>
      </c>
      <c r="U159" s="13">
        <v>3.72</v>
      </c>
      <c r="V159" s="11">
        <f t="shared" si="12"/>
        <v>165.88870710331369</v>
      </c>
      <c r="W159" s="10">
        <v>6.04</v>
      </c>
      <c r="X159" s="10">
        <v>5.5</v>
      </c>
      <c r="Y159" s="20">
        <v>4.5</v>
      </c>
    </row>
    <row r="160" spans="1:25" x14ac:dyDescent="0.3">
      <c r="A160" s="6">
        <v>41334</v>
      </c>
      <c r="B160" s="7">
        <v>3672.42</v>
      </c>
      <c r="C160" s="8">
        <v>0.47</v>
      </c>
      <c r="D160" s="11">
        <f t="shared" si="8"/>
        <v>180.04196105534132</v>
      </c>
      <c r="E160" s="10">
        <v>-0.09</v>
      </c>
      <c r="F160" s="11">
        <f t="shared" si="9"/>
        <v>156.9474271790389</v>
      </c>
      <c r="G160" s="8">
        <v>0.36</v>
      </c>
      <c r="H160" s="8">
        <v>0.69</v>
      </c>
      <c r="I160" s="8">
        <v>1.9827999999999999</v>
      </c>
      <c r="J160" s="11">
        <v>109.1333333333333</v>
      </c>
      <c r="K160" s="8">
        <v>101.77</v>
      </c>
      <c r="L160" s="8">
        <v>232.28</v>
      </c>
      <c r="M160" s="8">
        <v>0.55000000000000004</v>
      </c>
      <c r="N160" s="11">
        <v>2.3084799999999999</v>
      </c>
      <c r="O160" s="11">
        <f t="shared" si="14"/>
        <v>1.2930586359855711</v>
      </c>
      <c r="P160" s="11">
        <f t="shared" si="10"/>
        <v>185.78319179557189</v>
      </c>
      <c r="Q160" s="13">
        <v>0.09</v>
      </c>
      <c r="R160" s="11">
        <f t="shared" si="11"/>
        <v>147.28600459462672</v>
      </c>
      <c r="S160" s="13">
        <v>3.55</v>
      </c>
      <c r="T160" s="11">
        <f t="shared" si="13"/>
        <v>170.7040121066934</v>
      </c>
      <c r="U160" s="13">
        <v>3.12</v>
      </c>
      <c r="V160" s="11">
        <f t="shared" si="12"/>
        <v>171.06443476493709</v>
      </c>
      <c r="W160" s="8">
        <v>6.8</v>
      </c>
      <c r="X160" s="8">
        <v>5.53</v>
      </c>
      <c r="Y160" s="20">
        <v>4.5</v>
      </c>
    </row>
    <row r="161" spans="1:25" x14ac:dyDescent="0.3">
      <c r="A161" s="6">
        <v>41365</v>
      </c>
      <c r="B161" s="14">
        <v>3692.62</v>
      </c>
      <c r="C161" s="10">
        <v>0.55000000000000004</v>
      </c>
      <c r="D161" s="11">
        <f t="shared" si="8"/>
        <v>181.0321918411457</v>
      </c>
      <c r="E161" s="8">
        <v>-0.19</v>
      </c>
      <c r="F161" s="11">
        <f t="shared" si="9"/>
        <v>156.64922706739873</v>
      </c>
      <c r="G161" s="10">
        <v>0.24</v>
      </c>
      <c r="H161" s="10">
        <v>0.9</v>
      </c>
      <c r="I161" s="10">
        <v>2.0022000000000002</v>
      </c>
      <c r="J161" s="11">
        <v>102.7046666666667</v>
      </c>
      <c r="K161" s="10">
        <v>102.83</v>
      </c>
      <c r="L161" s="10">
        <v>231.8</v>
      </c>
      <c r="M161" s="10">
        <v>0.61</v>
      </c>
      <c r="N161" s="11">
        <v>2.3264999999999998</v>
      </c>
      <c r="O161" s="11">
        <f t="shared" si="14"/>
        <v>0.7745540511497927</v>
      </c>
      <c r="P161" s="11">
        <f t="shared" si="10"/>
        <v>187.22218303397989</v>
      </c>
      <c r="Q161" s="13">
        <v>-0.41</v>
      </c>
      <c r="R161" s="11">
        <f t="shared" si="11"/>
        <v>146.68213197578874</v>
      </c>
      <c r="S161" s="13">
        <v>0.16</v>
      </c>
      <c r="T161" s="11">
        <f t="shared" si="13"/>
        <v>170.9771385260641</v>
      </c>
      <c r="U161" s="13">
        <v>0.91</v>
      </c>
      <c r="V161" s="11">
        <f t="shared" si="12"/>
        <v>172.62112112129802</v>
      </c>
      <c r="W161" s="10">
        <v>7.57</v>
      </c>
      <c r="X161" s="10">
        <v>5.56</v>
      </c>
      <c r="Y161" s="20">
        <v>4.5</v>
      </c>
    </row>
    <row r="162" spans="1:25" x14ac:dyDescent="0.3">
      <c r="A162" s="6">
        <v>41395</v>
      </c>
      <c r="B162" s="7">
        <v>3706.28</v>
      </c>
      <c r="C162" s="8">
        <v>0.37</v>
      </c>
      <c r="D162" s="11">
        <f t="shared" si="8"/>
        <v>181.70201095095794</v>
      </c>
      <c r="E162" s="10">
        <v>-0.25</v>
      </c>
      <c r="F162" s="11">
        <f t="shared" si="9"/>
        <v>156.25760399973024</v>
      </c>
      <c r="G162" s="8">
        <v>0.24</v>
      </c>
      <c r="H162" s="8">
        <v>0.52</v>
      </c>
      <c r="I162" s="8">
        <v>2.0348000000000002</v>
      </c>
      <c r="J162" s="11">
        <v>102.3035483870968</v>
      </c>
      <c r="K162" s="8">
        <v>103.07</v>
      </c>
      <c r="L162" s="8">
        <v>231.89</v>
      </c>
      <c r="M162" s="8">
        <v>0.6</v>
      </c>
      <c r="N162" s="11">
        <v>2.3382800000000001</v>
      </c>
      <c r="O162" s="11">
        <f t="shared" si="14"/>
        <v>0.50378910994407622</v>
      </c>
      <c r="P162" s="11">
        <f t="shared" si="10"/>
        <v>188.16538800350463</v>
      </c>
      <c r="Q162" s="13">
        <v>-0.52</v>
      </c>
      <c r="R162" s="11">
        <f t="shared" si="11"/>
        <v>145.91938488951465</v>
      </c>
      <c r="S162" s="13">
        <v>-1.97</v>
      </c>
      <c r="T162" s="11">
        <f t="shared" si="13"/>
        <v>167.60888889710063</v>
      </c>
      <c r="U162" s="13">
        <v>0.44</v>
      </c>
      <c r="V162" s="11">
        <f t="shared" si="12"/>
        <v>173.38065405423174</v>
      </c>
      <c r="W162" s="8">
        <v>7.44</v>
      </c>
      <c r="X162" s="8">
        <v>5.62</v>
      </c>
      <c r="Y162" s="20">
        <v>4.5</v>
      </c>
    </row>
    <row r="163" spans="1:25" x14ac:dyDescent="0.3">
      <c r="A163" s="6">
        <v>41426</v>
      </c>
      <c r="B163" s="14">
        <v>3715.92</v>
      </c>
      <c r="C163" s="10">
        <v>0.26</v>
      </c>
      <c r="D163" s="11">
        <f t="shared" si="8"/>
        <v>182.17443617943044</v>
      </c>
      <c r="E163" s="8">
        <v>0.14000000000000001</v>
      </c>
      <c r="F163" s="11">
        <f t="shared" si="9"/>
        <v>156.47636464532985</v>
      </c>
      <c r="G163" s="10">
        <v>0.11</v>
      </c>
      <c r="H163" s="10">
        <v>0.32</v>
      </c>
      <c r="I163" s="10">
        <v>2.173</v>
      </c>
      <c r="J163" s="11">
        <v>102.87666666666669</v>
      </c>
      <c r="K163" s="10">
        <v>102.76</v>
      </c>
      <c r="L163" s="10">
        <v>232.45</v>
      </c>
      <c r="M163" s="10">
        <v>0.61</v>
      </c>
      <c r="N163" s="11">
        <v>2.3432400000000002</v>
      </c>
      <c r="O163" s="11">
        <f t="shared" si="14"/>
        <v>0.21167272665198936</v>
      </c>
      <c r="P163" s="11">
        <f t="shared" si="10"/>
        <v>188.56368281090695</v>
      </c>
      <c r="Q163" s="13">
        <v>-0.93</v>
      </c>
      <c r="R163" s="11">
        <f t="shared" si="11"/>
        <v>144.56233461004217</v>
      </c>
      <c r="S163" s="13">
        <v>-5.33</v>
      </c>
      <c r="T163" s="11">
        <f t="shared" si="13"/>
        <v>158.67533511888516</v>
      </c>
      <c r="U163" s="13">
        <v>-0.14000000000000001</v>
      </c>
      <c r="V163" s="11">
        <f t="shared" si="12"/>
        <v>173.13792113855581</v>
      </c>
      <c r="W163" s="10">
        <v>7.57</v>
      </c>
      <c r="X163" s="10">
        <v>5.74</v>
      </c>
      <c r="Y163" s="20">
        <v>4.5</v>
      </c>
    </row>
    <row r="164" spans="1:25" x14ac:dyDescent="0.3">
      <c r="A164" s="6">
        <v>41456</v>
      </c>
      <c r="B164" s="7">
        <v>3717.03</v>
      </c>
      <c r="C164" s="8">
        <v>0.03</v>
      </c>
      <c r="D164" s="11">
        <f t="shared" si="8"/>
        <v>182.22908851028427</v>
      </c>
      <c r="E164" s="10">
        <v>-0.66</v>
      </c>
      <c r="F164" s="11">
        <f t="shared" si="9"/>
        <v>155.44362063867067</v>
      </c>
      <c r="G164" s="8">
        <v>0.11</v>
      </c>
      <c r="H164" s="8">
        <v>0.13</v>
      </c>
      <c r="I164" s="8">
        <v>2.2522000000000002</v>
      </c>
      <c r="J164" s="11">
        <v>107.6793333333333</v>
      </c>
      <c r="K164" s="8">
        <v>103.05</v>
      </c>
      <c r="L164" s="8">
        <v>232.9</v>
      </c>
      <c r="M164" s="8">
        <v>0.72</v>
      </c>
      <c r="N164" s="11">
        <v>2.3448699999999998</v>
      </c>
      <c r="O164" s="11">
        <f t="shared" si="14"/>
        <v>6.9513448506722184E-2</v>
      </c>
      <c r="P164" s="11">
        <f t="shared" si="10"/>
        <v>188.6947599294601</v>
      </c>
      <c r="Q164" s="13">
        <v>-0.23</v>
      </c>
      <c r="R164" s="11">
        <f t="shared" si="11"/>
        <v>144.22984124043907</v>
      </c>
      <c r="S164" s="13">
        <v>-0.55000000000000004</v>
      </c>
      <c r="T164" s="11">
        <f t="shared" si="13"/>
        <v>157.8026207757313</v>
      </c>
      <c r="U164" s="13">
        <v>0.35</v>
      </c>
      <c r="V164" s="11">
        <f t="shared" si="12"/>
        <v>173.74390386254075</v>
      </c>
      <c r="W164" s="8">
        <v>8.99</v>
      </c>
      <c r="X164" s="8">
        <v>5.66</v>
      </c>
      <c r="Y164" s="20">
        <v>4.5</v>
      </c>
    </row>
    <row r="165" spans="1:25" x14ac:dyDescent="0.3">
      <c r="A165" s="6">
        <v>41487</v>
      </c>
      <c r="B165" s="14">
        <v>3725.95</v>
      </c>
      <c r="C165" s="10">
        <v>0.24</v>
      </c>
      <c r="D165" s="11">
        <f t="shared" si="8"/>
        <v>182.66643832270896</v>
      </c>
      <c r="E165" s="8">
        <v>-0.06</v>
      </c>
      <c r="F165" s="11">
        <f t="shared" si="9"/>
        <v>155.35035446628746</v>
      </c>
      <c r="G165" s="10">
        <v>0.39</v>
      </c>
      <c r="H165" s="10">
        <v>0.2</v>
      </c>
      <c r="I165" s="10">
        <v>2.3422000000000001</v>
      </c>
      <c r="J165" s="11">
        <v>110.46709677419349</v>
      </c>
      <c r="K165" s="10">
        <v>103.37</v>
      </c>
      <c r="L165" s="10">
        <v>233.46</v>
      </c>
      <c r="M165" s="10">
        <v>0.71</v>
      </c>
      <c r="N165" s="11">
        <v>2.3473199999999999</v>
      </c>
      <c r="O165" s="11">
        <f t="shared" si="14"/>
        <v>0.10437435032292416</v>
      </c>
      <c r="P165" s="11">
        <f t="shared" si="10"/>
        <v>188.89170885922988</v>
      </c>
      <c r="Q165" s="13">
        <v>-0.15</v>
      </c>
      <c r="R165" s="11">
        <f t="shared" si="11"/>
        <v>144.01349647857842</v>
      </c>
      <c r="S165" s="13">
        <v>-1.1599999999999999</v>
      </c>
      <c r="T165" s="11">
        <f t="shared" si="13"/>
        <v>155.97211037473281</v>
      </c>
      <c r="U165" s="13">
        <v>0.39</v>
      </c>
      <c r="V165" s="11">
        <f t="shared" si="12"/>
        <v>174.42150508760466</v>
      </c>
      <c r="W165" s="10">
        <v>8.86</v>
      </c>
      <c r="X165" s="10">
        <v>6.06</v>
      </c>
      <c r="Y165" s="20">
        <v>4.5</v>
      </c>
    </row>
    <row r="166" spans="1:25" x14ac:dyDescent="0.3">
      <c r="A166" s="6">
        <v>41518</v>
      </c>
      <c r="B166" s="7">
        <v>3738.99</v>
      </c>
      <c r="C166" s="8">
        <v>0.35</v>
      </c>
      <c r="D166" s="11">
        <f t="shared" si="8"/>
        <v>183.30577085683845</v>
      </c>
      <c r="E166" s="10">
        <v>0.44</v>
      </c>
      <c r="F166" s="11">
        <f t="shared" si="9"/>
        <v>156.03389602593913</v>
      </c>
      <c r="G166" s="8">
        <v>0.61</v>
      </c>
      <c r="H166" s="8">
        <v>0.23</v>
      </c>
      <c r="I166" s="8">
        <v>2.2705000000000002</v>
      </c>
      <c r="J166" s="11">
        <v>112.53133333333329</v>
      </c>
      <c r="K166" s="8">
        <v>103.83</v>
      </c>
      <c r="L166" s="8">
        <v>233.54</v>
      </c>
      <c r="M166" s="8">
        <v>0.71</v>
      </c>
      <c r="N166" s="11">
        <v>2.3507699999999998</v>
      </c>
      <c r="O166" s="11">
        <f t="shared" si="14"/>
        <v>0.14676042318048782</v>
      </c>
      <c r="P166" s="11">
        <f t="shared" si="10"/>
        <v>189.16892713050453</v>
      </c>
      <c r="Q166" s="13">
        <v>-0.42</v>
      </c>
      <c r="R166" s="11">
        <f t="shared" si="11"/>
        <v>143.40863979336839</v>
      </c>
      <c r="S166" s="13">
        <v>-0.72</v>
      </c>
      <c r="T166" s="11">
        <f t="shared" si="13"/>
        <v>154.84911118003473</v>
      </c>
      <c r="U166" s="13">
        <v>0.12</v>
      </c>
      <c r="V166" s="11">
        <f t="shared" si="12"/>
        <v>174.63081089370979</v>
      </c>
      <c r="W166" s="8">
        <v>8.86</v>
      </c>
      <c r="X166" s="8">
        <v>6.16</v>
      </c>
      <c r="Y166" s="20">
        <v>4.5</v>
      </c>
    </row>
    <row r="167" spans="1:25" x14ac:dyDescent="0.3">
      <c r="A167" s="6">
        <v>41548</v>
      </c>
      <c r="B167" s="14">
        <v>3760.3</v>
      </c>
      <c r="C167" s="10">
        <v>0.56999999999999995</v>
      </c>
      <c r="D167" s="11">
        <f t="shared" ref="D167:D230" si="15">D166+D166*(C167/100)</f>
        <v>184.35061375072243</v>
      </c>
      <c r="E167" s="8">
        <v>0.17</v>
      </c>
      <c r="F167" s="11">
        <f t="shared" ref="F167:F230" si="16">F166+F166*(E167/100)</f>
        <v>156.29915364918324</v>
      </c>
      <c r="G167" s="10">
        <v>0.96</v>
      </c>
      <c r="H167" s="10">
        <v>0.47</v>
      </c>
      <c r="I167" s="10">
        <v>2.1886000000000001</v>
      </c>
      <c r="J167" s="11">
        <v>109.15612903225809</v>
      </c>
      <c r="K167" s="10">
        <v>103.91</v>
      </c>
      <c r="L167" s="10">
        <v>233.67</v>
      </c>
      <c r="M167" s="10">
        <v>0.81</v>
      </c>
      <c r="N167" s="11">
        <v>2.3544800000000001</v>
      </c>
      <c r="O167" s="11">
        <f t="shared" si="14"/>
        <v>0.15757194794605703</v>
      </c>
      <c r="P167" s="11">
        <f t="shared" ref="P167:P230" si="17">P166+P166*(O167/100)</f>
        <v>189.46700429389273</v>
      </c>
      <c r="Q167" s="13">
        <v>0.01</v>
      </c>
      <c r="R167" s="11">
        <f t="shared" ref="R167:R230" si="18">R166+R166*(Q167/100)</f>
        <v>143.42298065734772</v>
      </c>
      <c r="S167" s="13">
        <v>0.93</v>
      </c>
      <c r="T167" s="11">
        <f t="shared" si="13"/>
        <v>156.28920791400904</v>
      </c>
      <c r="U167" s="13">
        <v>0.05</v>
      </c>
      <c r="V167" s="11">
        <f t="shared" ref="V167:V230" si="19">V166+V166*(U167/100)</f>
        <v>174.71812629915664</v>
      </c>
      <c r="W167" s="10">
        <v>10.16</v>
      </c>
      <c r="X167" s="10">
        <v>6.25</v>
      </c>
      <c r="Y167" s="20">
        <v>4.5</v>
      </c>
    </row>
    <row r="168" spans="1:25" x14ac:dyDescent="0.3">
      <c r="A168" s="6">
        <v>41579</v>
      </c>
      <c r="B168" s="7">
        <v>3780.61</v>
      </c>
      <c r="C168" s="8">
        <v>0.54</v>
      </c>
      <c r="D168" s="11">
        <f t="shared" si="15"/>
        <v>185.34610706497634</v>
      </c>
      <c r="E168" s="10">
        <v>0.36</v>
      </c>
      <c r="F168" s="11">
        <f t="shared" si="16"/>
        <v>156.86183060232031</v>
      </c>
      <c r="G168" s="8">
        <v>0.5</v>
      </c>
      <c r="H168" s="8">
        <v>0.61</v>
      </c>
      <c r="I168" s="8">
        <v>2.2953999999999999</v>
      </c>
      <c r="J168" s="11">
        <v>107.54965517241379</v>
      </c>
      <c r="K168" s="8">
        <v>104.15</v>
      </c>
      <c r="L168" s="8">
        <v>234.1</v>
      </c>
      <c r="M168" s="8">
        <v>0.72</v>
      </c>
      <c r="N168" s="11">
        <v>2.3611900000000001</v>
      </c>
      <c r="O168" s="11">
        <f t="shared" si="14"/>
        <v>0.28417874038090934</v>
      </c>
      <c r="P168" s="11">
        <f t="shared" si="17"/>
        <v>190.00542924013254</v>
      </c>
      <c r="Q168" s="13">
        <v>0.63</v>
      </c>
      <c r="R168" s="11">
        <f t="shared" si="18"/>
        <v>144.32654543548901</v>
      </c>
      <c r="S168" s="13">
        <v>0.94</v>
      </c>
      <c r="T168" s="11">
        <f t="shared" ref="T168:T231" si="20">T167+T167*(S168/100)</f>
        <v>157.75832646840072</v>
      </c>
      <c r="U168" s="13">
        <v>0.33</v>
      </c>
      <c r="V168" s="11">
        <f t="shared" si="19"/>
        <v>175.29469611594385</v>
      </c>
      <c r="W168" s="8">
        <v>8.99</v>
      </c>
      <c r="X168" s="8">
        <v>6.14</v>
      </c>
      <c r="Y168" s="20">
        <v>4.5</v>
      </c>
    </row>
    <row r="169" spans="1:25" x14ac:dyDescent="0.3">
      <c r="A169" s="6">
        <v>41609</v>
      </c>
      <c r="B169" s="14">
        <v>3815.39</v>
      </c>
      <c r="C169" s="10">
        <v>0.92</v>
      </c>
      <c r="D169" s="11">
        <f t="shared" si="15"/>
        <v>187.05129124997413</v>
      </c>
      <c r="E169" s="8">
        <v>1.85</v>
      </c>
      <c r="F169" s="11">
        <f t="shared" si="16"/>
        <v>159.76377446846323</v>
      </c>
      <c r="G169" s="10">
        <v>0.68</v>
      </c>
      <c r="H169" s="10">
        <v>1.1299999999999999</v>
      </c>
      <c r="I169" s="10">
        <v>2.3454999999999999</v>
      </c>
      <c r="J169" s="11">
        <v>110.8668965517241</v>
      </c>
      <c r="K169" s="10">
        <v>104.48</v>
      </c>
      <c r="L169" s="10">
        <v>234.72</v>
      </c>
      <c r="M169" s="10">
        <v>0.79</v>
      </c>
      <c r="N169" s="11">
        <v>2.3771900000000001</v>
      </c>
      <c r="O169" s="11">
        <f t="shared" si="14"/>
        <v>0.67306357506131242</v>
      </c>
      <c r="P169" s="11">
        <f t="shared" si="17"/>
        <v>191.28428657498677</v>
      </c>
      <c r="Q169" s="13">
        <v>4.04</v>
      </c>
      <c r="R169" s="11">
        <f t="shared" si="18"/>
        <v>150.15733787108277</v>
      </c>
      <c r="S169" s="13">
        <v>4.83</v>
      </c>
      <c r="T169" s="11">
        <f t="shared" si="20"/>
        <v>165.37805363682449</v>
      </c>
      <c r="U169" s="13">
        <v>4.8899999999999997</v>
      </c>
      <c r="V169" s="11">
        <f t="shared" si="19"/>
        <v>183.86660675601351</v>
      </c>
      <c r="W169" s="10">
        <v>9.9</v>
      </c>
      <c r="X169" s="10">
        <v>6.11</v>
      </c>
      <c r="Y169" s="20">
        <v>4.5</v>
      </c>
    </row>
    <row r="170" spans="1:25" x14ac:dyDescent="0.3">
      <c r="A170" s="6">
        <v>41640</v>
      </c>
      <c r="B170" s="7">
        <v>3836.37</v>
      </c>
      <c r="C170" s="8">
        <v>0.55000000000000004</v>
      </c>
      <c r="D170" s="11">
        <f t="shared" si="15"/>
        <v>188.08007335184899</v>
      </c>
      <c r="E170" s="10">
        <v>-0.03</v>
      </c>
      <c r="F170" s="11">
        <f t="shared" si="16"/>
        <v>159.7158453361227</v>
      </c>
      <c r="G170" s="8">
        <v>0.67</v>
      </c>
      <c r="H170" s="8">
        <v>0.54</v>
      </c>
      <c r="I170" s="8">
        <v>2.3822000000000001</v>
      </c>
      <c r="J170" s="11">
        <v>108.2596551724138</v>
      </c>
      <c r="K170" s="8">
        <v>104.05</v>
      </c>
      <c r="L170" s="8">
        <v>235.32</v>
      </c>
      <c r="M170" s="8">
        <v>0.85</v>
      </c>
      <c r="N170" s="11">
        <v>2.3914800000000001</v>
      </c>
      <c r="O170" s="11">
        <f t="shared" si="14"/>
        <v>0.59753792630504599</v>
      </c>
      <c r="P170" s="11">
        <f t="shared" si="17"/>
        <v>192.42728273433434</v>
      </c>
      <c r="Q170" s="13">
        <v>0.6</v>
      </c>
      <c r="R170" s="11">
        <f t="shared" si="18"/>
        <v>151.05828189830927</v>
      </c>
      <c r="S170" s="13">
        <v>1.43</v>
      </c>
      <c r="T170" s="11">
        <f t="shared" si="20"/>
        <v>167.74295980383107</v>
      </c>
      <c r="U170" s="13">
        <v>0.91</v>
      </c>
      <c r="V170" s="11">
        <f t="shared" si="19"/>
        <v>185.53979287749323</v>
      </c>
      <c r="W170" s="8">
        <v>10.69</v>
      </c>
      <c r="X170" s="8">
        <v>6.02</v>
      </c>
      <c r="Y170" s="22">
        <v>4.5</v>
      </c>
    </row>
    <row r="171" spans="1:25" x14ac:dyDescent="0.3">
      <c r="A171" s="6">
        <v>41671</v>
      </c>
      <c r="B171" s="14">
        <v>3862.84</v>
      </c>
      <c r="C171" s="10">
        <v>0.69</v>
      </c>
      <c r="D171" s="11">
        <f t="shared" si="15"/>
        <v>189.37782585797675</v>
      </c>
      <c r="E171" s="8">
        <v>-0.05</v>
      </c>
      <c r="F171" s="11">
        <f t="shared" si="16"/>
        <v>159.63598741345464</v>
      </c>
      <c r="G171" s="10">
        <v>0.26</v>
      </c>
      <c r="H171" s="10">
        <v>1.23</v>
      </c>
      <c r="I171" s="10">
        <v>2.3837000000000002</v>
      </c>
      <c r="J171" s="11">
        <v>108.8489285714286</v>
      </c>
      <c r="K171" s="10">
        <v>103.81</v>
      </c>
      <c r="L171" s="10">
        <v>235.53</v>
      </c>
      <c r="M171" s="10">
        <v>0.79</v>
      </c>
      <c r="N171" s="11">
        <v>2.3997000000000002</v>
      </c>
      <c r="O171" s="11">
        <f t="shared" si="14"/>
        <v>0.34254281785223634</v>
      </c>
      <c r="P171" s="11">
        <f t="shared" si="17"/>
        <v>193.08642857092903</v>
      </c>
      <c r="Q171" s="13">
        <v>0.04</v>
      </c>
      <c r="R171" s="11">
        <f t="shared" si="18"/>
        <v>151.1187052110686</v>
      </c>
      <c r="S171" s="13">
        <v>1.87</v>
      </c>
      <c r="T171" s="11">
        <f t="shared" si="20"/>
        <v>170.87975315216272</v>
      </c>
      <c r="U171" s="13">
        <v>0.59</v>
      </c>
      <c r="V171" s="11">
        <f t="shared" si="19"/>
        <v>186.63447765547045</v>
      </c>
      <c r="W171" s="10">
        <v>9.9</v>
      </c>
      <c r="X171" s="10">
        <v>6.17</v>
      </c>
      <c r="Y171" s="22">
        <v>4.5</v>
      </c>
    </row>
    <row r="172" spans="1:25" x14ac:dyDescent="0.3">
      <c r="A172" s="6">
        <v>41699</v>
      </c>
      <c r="B172" s="7">
        <v>3898.38</v>
      </c>
      <c r="C172" s="8">
        <v>0.92</v>
      </c>
      <c r="D172" s="11">
        <f t="shared" si="15"/>
        <v>191.12010185587013</v>
      </c>
      <c r="E172" s="10">
        <v>1.38</v>
      </c>
      <c r="F172" s="11">
        <f t="shared" si="16"/>
        <v>161.83896403976033</v>
      </c>
      <c r="G172" s="8">
        <v>0.8</v>
      </c>
      <c r="H172" s="8">
        <v>1.54</v>
      </c>
      <c r="I172" s="8">
        <v>2.3260999999999998</v>
      </c>
      <c r="J172" s="11">
        <v>107.6216129032258</v>
      </c>
      <c r="K172" s="8">
        <v>103.66</v>
      </c>
      <c r="L172" s="8">
        <v>235.99</v>
      </c>
      <c r="M172" s="8">
        <v>0.77</v>
      </c>
      <c r="N172" s="11">
        <v>2.4139499999999998</v>
      </c>
      <c r="O172" s="11">
        <f t="shared" si="14"/>
        <v>0.59031877213693951</v>
      </c>
      <c r="P172" s="11">
        <f t="shared" si="17"/>
        <v>194.22625400523199</v>
      </c>
      <c r="Q172" s="13">
        <v>0.67</v>
      </c>
      <c r="R172" s="11">
        <f t="shared" si="18"/>
        <v>152.13120053598277</v>
      </c>
      <c r="S172" s="13">
        <v>4.07</v>
      </c>
      <c r="T172" s="11">
        <f t="shared" si="20"/>
        <v>177.83455910545575</v>
      </c>
      <c r="U172" s="13">
        <v>0.1</v>
      </c>
      <c r="V172" s="11">
        <f t="shared" si="19"/>
        <v>186.82111213312592</v>
      </c>
      <c r="W172" s="8">
        <v>9.64</v>
      </c>
      <c r="X172" s="8">
        <v>6.42</v>
      </c>
      <c r="Y172" s="22">
        <v>4.5</v>
      </c>
    </row>
    <row r="173" spans="1:25" x14ac:dyDescent="0.3">
      <c r="A173" s="6">
        <v>41730</v>
      </c>
      <c r="B173" s="14">
        <v>3924.5</v>
      </c>
      <c r="C173" s="10">
        <v>0.67</v>
      </c>
      <c r="D173" s="11">
        <f t="shared" si="15"/>
        <v>192.40060653830446</v>
      </c>
      <c r="E173" s="8">
        <v>0.32</v>
      </c>
      <c r="F173" s="11">
        <f t="shared" si="16"/>
        <v>162.35684872468755</v>
      </c>
      <c r="G173" s="10">
        <v>0.67</v>
      </c>
      <c r="H173" s="10">
        <v>0.62</v>
      </c>
      <c r="I173" s="10">
        <v>2.2328000000000001</v>
      </c>
      <c r="J173" s="11">
        <v>107.51633333333329</v>
      </c>
      <c r="K173" s="10">
        <v>103.24</v>
      </c>
      <c r="L173" s="10">
        <v>236.47</v>
      </c>
      <c r="M173" s="10">
        <v>0.82</v>
      </c>
      <c r="N173" s="11">
        <v>2.42231</v>
      </c>
      <c r="O173" s="11">
        <f t="shared" si="14"/>
        <v>0.34512510785160222</v>
      </c>
      <c r="P173" s="11">
        <f t="shared" si="17"/>
        <v>194.89657757384367</v>
      </c>
      <c r="Q173" s="13">
        <v>0.43</v>
      </c>
      <c r="R173" s="11">
        <f t="shared" si="18"/>
        <v>152.78536469828751</v>
      </c>
      <c r="S173" s="13">
        <v>0.59</v>
      </c>
      <c r="T173" s="11">
        <f t="shared" si="20"/>
        <v>178.88378300417793</v>
      </c>
      <c r="U173" s="13">
        <v>0.14000000000000001</v>
      </c>
      <c r="V173" s="11">
        <f t="shared" si="19"/>
        <v>187.0826616901123</v>
      </c>
      <c r="W173" s="10">
        <v>10.3</v>
      </c>
      <c r="X173" s="10">
        <v>6.22</v>
      </c>
      <c r="Y173" s="22">
        <v>4.5</v>
      </c>
    </row>
    <row r="174" spans="1:25" x14ac:dyDescent="0.3">
      <c r="A174" s="6">
        <v>41760</v>
      </c>
      <c r="B174" s="7">
        <v>3942.55</v>
      </c>
      <c r="C174" s="8">
        <v>0.46</v>
      </c>
      <c r="D174" s="11">
        <f t="shared" si="15"/>
        <v>193.28564932838066</v>
      </c>
      <c r="E174" s="10">
        <v>-0.45</v>
      </c>
      <c r="F174" s="11">
        <f t="shared" si="16"/>
        <v>161.62624290542647</v>
      </c>
      <c r="G174" s="8">
        <v>0.72</v>
      </c>
      <c r="H174" s="8">
        <v>0.17</v>
      </c>
      <c r="I174" s="8">
        <v>2.2208999999999999</v>
      </c>
      <c r="J174" s="11">
        <v>109.5193548387097</v>
      </c>
      <c r="K174" s="8">
        <v>102.83</v>
      </c>
      <c r="L174" s="8">
        <v>236.89</v>
      </c>
      <c r="M174" s="8">
        <v>0.87</v>
      </c>
      <c r="N174" s="11">
        <v>2.4265400000000001</v>
      </c>
      <c r="O174" s="11">
        <f t="shared" si="14"/>
        <v>0.17432228605340022</v>
      </c>
      <c r="P174" s="11">
        <f t="shared" si="17"/>
        <v>195.23632574331023</v>
      </c>
      <c r="Q174" s="13">
        <v>-0.35</v>
      </c>
      <c r="R174" s="11">
        <f t="shared" si="18"/>
        <v>152.25061592184349</v>
      </c>
      <c r="S174" s="13">
        <v>-2.34</v>
      </c>
      <c r="T174" s="11">
        <f t="shared" si="20"/>
        <v>174.69790248188016</v>
      </c>
      <c r="U174" s="13">
        <v>0.41</v>
      </c>
      <c r="V174" s="11">
        <f t="shared" si="19"/>
        <v>187.84970060304175</v>
      </c>
      <c r="W174" s="8">
        <v>10.95</v>
      </c>
      <c r="X174" s="8">
        <v>6.03</v>
      </c>
      <c r="Y174" s="22">
        <v>4.5</v>
      </c>
    </row>
    <row r="175" spans="1:25" x14ac:dyDescent="0.3">
      <c r="A175" s="6">
        <v>41791</v>
      </c>
      <c r="B175" s="14">
        <v>3958.32</v>
      </c>
      <c r="C175" s="10">
        <v>0.4</v>
      </c>
      <c r="D175" s="11">
        <f t="shared" si="15"/>
        <v>194.05879192569418</v>
      </c>
      <c r="E175" s="8">
        <v>0.37</v>
      </c>
      <c r="F175" s="11">
        <f t="shared" si="16"/>
        <v>162.22426000417656</v>
      </c>
      <c r="G175" s="10">
        <v>0.36</v>
      </c>
      <c r="H175" s="10">
        <v>0.52</v>
      </c>
      <c r="I175" s="10">
        <v>2.2355</v>
      </c>
      <c r="J175" s="11">
        <v>111.55766666666671</v>
      </c>
      <c r="K175" s="10">
        <v>100.74</v>
      </c>
      <c r="L175" s="10">
        <v>237.21</v>
      </c>
      <c r="M175" s="10">
        <v>0.82</v>
      </c>
      <c r="N175" s="11">
        <v>2.4344000000000001</v>
      </c>
      <c r="O175" s="11">
        <f t="shared" si="14"/>
        <v>0.32287216562602605</v>
      </c>
      <c r="P175" s="11">
        <f t="shared" si="17"/>
        <v>195.86668949632633</v>
      </c>
      <c r="Q175" s="13">
        <v>-0.72</v>
      </c>
      <c r="R175" s="11">
        <f t="shared" si="18"/>
        <v>151.1544114872062</v>
      </c>
      <c r="S175" s="13">
        <v>-3.42</v>
      </c>
      <c r="T175" s="11">
        <f t="shared" si="20"/>
        <v>168.72323421699986</v>
      </c>
      <c r="U175" s="13">
        <v>-0.27</v>
      </c>
      <c r="V175" s="11">
        <f t="shared" si="19"/>
        <v>187.34250641141355</v>
      </c>
      <c r="W175" s="10">
        <v>10.3</v>
      </c>
      <c r="X175" s="10">
        <v>6.01</v>
      </c>
      <c r="Y175" s="22">
        <v>4.5</v>
      </c>
    </row>
    <row r="176" spans="1:25" x14ac:dyDescent="0.3">
      <c r="A176" s="6">
        <v>41821</v>
      </c>
      <c r="B176" s="7">
        <v>3958.72</v>
      </c>
      <c r="C176" s="8">
        <v>0.01</v>
      </c>
      <c r="D176" s="11">
        <f t="shared" si="15"/>
        <v>194.07819780488674</v>
      </c>
      <c r="E176" s="10">
        <v>-0.98</v>
      </c>
      <c r="F176" s="11">
        <f t="shared" si="16"/>
        <v>160.63446225613563</v>
      </c>
      <c r="G176" s="8">
        <v>0.27</v>
      </c>
      <c r="H176" s="8">
        <v>-0.42</v>
      </c>
      <c r="I176" s="8">
        <v>2.2246000000000001</v>
      </c>
      <c r="J176" s="11">
        <v>107.18709677419351</v>
      </c>
      <c r="K176" s="8">
        <v>101.44</v>
      </c>
      <c r="L176" s="8">
        <v>237.49</v>
      </c>
      <c r="M176" s="8">
        <v>0.95</v>
      </c>
      <c r="N176" s="11">
        <v>2.4420700000000002</v>
      </c>
      <c r="O176" s="11">
        <f t="shared" si="14"/>
        <v>0.31407781103736032</v>
      </c>
      <c r="P176" s="11">
        <f t="shared" si="17"/>
        <v>196.48186330724775</v>
      </c>
      <c r="Q176" s="13">
        <v>-0.8</v>
      </c>
      <c r="R176" s="11">
        <f t="shared" si="18"/>
        <v>149.94517619530856</v>
      </c>
      <c r="S176" s="13">
        <v>-1.55</v>
      </c>
      <c r="T176" s="11">
        <f t="shared" si="20"/>
        <v>166.10802408663636</v>
      </c>
      <c r="U176" s="13">
        <v>-0.23</v>
      </c>
      <c r="V176" s="11">
        <f t="shared" si="19"/>
        <v>186.91161864666731</v>
      </c>
      <c r="W176" s="8">
        <v>12.01</v>
      </c>
      <c r="X176" s="8">
        <v>5.95</v>
      </c>
      <c r="Y176" s="22">
        <v>4.5</v>
      </c>
    </row>
    <row r="177" spans="1:25" x14ac:dyDescent="0.3">
      <c r="A177" s="6">
        <v>41852</v>
      </c>
      <c r="B177" s="14">
        <v>3968.62</v>
      </c>
      <c r="C177" s="10">
        <v>0.25</v>
      </c>
      <c r="D177" s="11">
        <f t="shared" si="15"/>
        <v>194.56339329939897</v>
      </c>
      <c r="E177" s="8">
        <v>0.33</v>
      </c>
      <c r="F177" s="11">
        <f t="shared" si="16"/>
        <v>161.16455598158089</v>
      </c>
      <c r="G177" s="10">
        <v>0.11</v>
      </c>
      <c r="H177" s="10">
        <v>0.23</v>
      </c>
      <c r="I177" s="10">
        <v>2.2656000000000001</v>
      </c>
      <c r="J177" s="11">
        <v>102.25645161290321</v>
      </c>
      <c r="K177" s="10">
        <v>102.3</v>
      </c>
      <c r="L177" s="10">
        <v>237.45</v>
      </c>
      <c r="M177" s="10">
        <v>0.87</v>
      </c>
      <c r="N177" s="11">
        <v>2.4462600000000001</v>
      </c>
      <c r="O177" s="11">
        <f t="shared" si="14"/>
        <v>0.17128187518906068</v>
      </c>
      <c r="P177" s="11">
        <f t="shared" si="17"/>
        <v>196.8184011271268</v>
      </c>
      <c r="Q177" s="13">
        <v>0.3</v>
      </c>
      <c r="R177" s="11">
        <f t="shared" si="18"/>
        <v>150.3950117238945</v>
      </c>
      <c r="S177" s="13">
        <v>-7.0000000000000007E-2</v>
      </c>
      <c r="T177" s="11">
        <f t="shared" si="20"/>
        <v>165.99174846977573</v>
      </c>
      <c r="U177" s="13">
        <v>0.51</v>
      </c>
      <c r="V177" s="11">
        <f t="shared" si="19"/>
        <v>187.86486790176531</v>
      </c>
      <c r="W177" s="10">
        <v>10.95</v>
      </c>
      <c r="X177" s="10">
        <v>6.15</v>
      </c>
      <c r="Y177" s="22">
        <v>4.5</v>
      </c>
    </row>
    <row r="178" spans="1:25" x14ac:dyDescent="0.3">
      <c r="A178" s="6">
        <v>41883</v>
      </c>
      <c r="B178" s="7">
        <v>3991.24</v>
      </c>
      <c r="C178" s="8">
        <v>0.56999999999999995</v>
      </c>
      <c r="D178" s="11">
        <f t="shared" si="15"/>
        <v>195.67240464120553</v>
      </c>
      <c r="E178" s="10">
        <v>0.63</v>
      </c>
      <c r="F178" s="11">
        <f t="shared" si="16"/>
        <v>162.17989268426484</v>
      </c>
      <c r="G178" s="8">
        <v>0.66</v>
      </c>
      <c r="H178" s="8">
        <v>0.59</v>
      </c>
      <c r="I178" s="8">
        <v>2.3329</v>
      </c>
      <c r="J178" s="11">
        <v>97.630333333333326</v>
      </c>
      <c r="K178" s="8">
        <v>102.78</v>
      </c>
      <c r="L178" s="8">
        <v>237.46</v>
      </c>
      <c r="M178" s="8">
        <v>0.91</v>
      </c>
      <c r="N178" s="11">
        <v>2.45051</v>
      </c>
      <c r="O178" s="11">
        <f t="shared" si="14"/>
        <v>0.17343328531611238</v>
      </c>
      <c r="P178" s="11">
        <f t="shared" si="17"/>
        <v>197.15974974630822</v>
      </c>
      <c r="Q178" s="13">
        <v>-7.0000000000000007E-2</v>
      </c>
      <c r="R178" s="11">
        <f t="shared" si="18"/>
        <v>150.28973521568778</v>
      </c>
      <c r="S178" s="13">
        <v>-0.01</v>
      </c>
      <c r="T178" s="11">
        <f t="shared" si="20"/>
        <v>165.97514929492874</v>
      </c>
      <c r="U178" s="13">
        <v>0</v>
      </c>
      <c r="V178" s="11">
        <f t="shared" si="19"/>
        <v>187.86486790176531</v>
      </c>
      <c r="W178" s="8">
        <v>11.48</v>
      </c>
      <c r="X178" s="8">
        <v>6.33</v>
      </c>
      <c r="Y178" s="22">
        <v>4.5</v>
      </c>
    </row>
    <row r="179" spans="1:25" x14ac:dyDescent="0.3">
      <c r="A179" s="6">
        <v>41913</v>
      </c>
      <c r="B179" s="14">
        <v>4008</v>
      </c>
      <c r="C179" s="10">
        <v>0.42</v>
      </c>
      <c r="D179" s="11">
        <f t="shared" si="15"/>
        <v>196.49422874069859</v>
      </c>
      <c r="E179" s="8">
        <v>0.39</v>
      </c>
      <c r="F179" s="11">
        <f t="shared" si="16"/>
        <v>162.81239426573347</v>
      </c>
      <c r="G179" s="10">
        <v>0.38</v>
      </c>
      <c r="H179" s="10">
        <v>0.48</v>
      </c>
      <c r="I179" s="10">
        <v>2.4483000000000001</v>
      </c>
      <c r="J179" s="11">
        <v>88.33387096774193</v>
      </c>
      <c r="K179" s="10">
        <v>102.06</v>
      </c>
      <c r="L179" s="10">
        <v>237.44</v>
      </c>
      <c r="M179" s="10">
        <v>0.95</v>
      </c>
      <c r="N179" s="11">
        <v>2.46597</v>
      </c>
      <c r="O179" s="11">
        <f t="shared" si="14"/>
        <v>0.62693382320141888</v>
      </c>
      <c r="P179" s="11">
        <f t="shared" si="17"/>
        <v>198.39581090320709</v>
      </c>
      <c r="Q179" s="13">
        <v>0.18</v>
      </c>
      <c r="R179" s="11">
        <f t="shared" si="18"/>
        <v>150.56025673907601</v>
      </c>
      <c r="S179" s="13">
        <v>0.18</v>
      </c>
      <c r="T179" s="11">
        <f t="shared" si="20"/>
        <v>166.27390456365961</v>
      </c>
      <c r="U179" s="13">
        <v>-0.04</v>
      </c>
      <c r="V179" s="11">
        <f t="shared" si="19"/>
        <v>187.7897219546046</v>
      </c>
      <c r="W179" s="10">
        <v>12.01</v>
      </c>
      <c r="X179" s="10">
        <v>6.41</v>
      </c>
      <c r="Y179" s="22">
        <v>4.5</v>
      </c>
    </row>
    <row r="180" spans="1:25" x14ac:dyDescent="0.3">
      <c r="A180" s="6">
        <v>41944</v>
      </c>
      <c r="B180" s="7">
        <v>4028.44</v>
      </c>
      <c r="C180" s="8">
        <v>0.51</v>
      </c>
      <c r="D180" s="11">
        <f t="shared" si="15"/>
        <v>197.49634930727615</v>
      </c>
      <c r="E180" s="10">
        <v>0.43</v>
      </c>
      <c r="F180" s="11">
        <f t="shared" si="16"/>
        <v>163.51248756107611</v>
      </c>
      <c r="G180" s="8">
        <v>0.28000000000000003</v>
      </c>
      <c r="H180" s="8">
        <v>0.59</v>
      </c>
      <c r="I180" s="8">
        <v>2.5484</v>
      </c>
      <c r="J180" s="11">
        <v>80.514137931034483</v>
      </c>
      <c r="K180" s="8">
        <v>102.21</v>
      </c>
      <c r="L180" s="8">
        <v>237.01</v>
      </c>
      <c r="M180" s="8">
        <v>0.84</v>
      </c>
      <c r="N180" s="11">
        <v>2.48861</v>
      </c>
      <c r="O180" s="11">
        <f t="shared" si="14"/>
        <v>0.9097447972964825</v>
      </c>
      <c r="P180" s="11">
        <f t="shared" si="17"/>
        <v>200.20070647095318</v>
      </c>
      <c r="Q180" s="13">
        <v>1.99</v>
      </c>
      <c r="R180" s="11">
        <f t="shared" si="18"/>
        <v>153.55640584818363</v>
      </c>
      <c r="S180" s="13">
        <v>0.1</v>
      </c>
      <c r="T180" s="11">
        <f t="shared" si="20"/>
        <v>166.44017846822328</v>
      </c>
      <c r="U180" s="13">
        <v>2.66</v>
      </c>
      <c r="V180" s="11">
        <f t="shared" si="19"/>
        <v>192.78492855859707</v>
      </c>
      <c r="W180" s="8">
        <v>10.56</v>
      </c>
      <c r="X180" s="8">
        <v>6.56</v>
      </c>
      <c r="Y180" s="22">
        <v>4.5</v>
      </c>
    </row>
    <row r="181" spans="1:25" x14ac:dyDescent="0.3">
      <c r="A181" s="6">
        <v>41974</v>
      </c>
      <c r="B181" s="14">
        <v>4059.86</v>
      </c>
      <c r="C181" s="10">
        <v>0.78</v>
      </c>
      <c r="D181" s="11">
        <f t="shared" si="15"/>
        <v>199.03682083187292</v>
      </c>
      <c r="E181" s="8">
        <v>1.38</v>
      </c>
      <c r="F181" s="11">
        <f t="shared" si="16"/>
        <v>165.76895988941897</v>
      </c>
      <c r="G181" s="10">
        <v>0.62</v>
      </c>
      <c r="H181" s="10">
        <v>1.1100000000000001</v>
      </c>
      <c r="I181" s="10">
        <v>2.6394000000000002</v>
      </c>
      <c r="J181" s="11">
        <v>63.381</v>
      </c>
      <c r="K181" s="10">
        <v>102.66</v>
      </c>
      <c r="L181" s="10">
        <v>236.26</v>
      </c>
      <c r="M181" s="10">
        <v>0.96</v>
      </c>
      <c r="N181" s="11">
        <v>2.55037</v>
      </c>
      <c r="O181" s="11">
        <f t="shared" si="14"/>
        <v>2.4216094135360766</v>
      </c>
      <c r="P181" s="11">
        <f t="shared" si="17"/>
        <v>205.04878562481952</v>
      </c>
      <c r="Q181" s="13">
        <v>0.61</v>
      </c>
      <c r="R181" s="11">
        <f t="shared" si="18"/>
        <v>154.49309992385756</v>
      </c>
      <c r="S181" s="13">
        <v>1.31</v>
      </c>
      <c r="T181" s="11">
        <f t="shared" si="20"/>
        <v>168.620544806157</v>
      </c>
      <c r="U181" s="13">
        <v>1.92</v>
      </c>
      <c r="V181" s="11">
        <f t="shared" si="19"/>
        <v>196.48639918692214</v>
      </c>
      <c r="W181" s="10">
        <v>12.15</v>
      </c>
      <c r="X181" s="10">
        <v>6.73</v>
      </c>
      <c r="Y181" s="22">
        <v>4.5</v>
      </c>
    </row>
    <row r="182" spans="1:25" x14ac:dyDescent="0.3">
      <c r="A182" s="6">
        <v>42005</v>
      </c>
      <c r="B182" s="7">
        <v>4110.2</v>
      </c>
      <c r="C182" s="8">
        <v>1.24</v>
      </c>
      <c r="D182" s="11">
        <f t="shared" si="15"/>
        <v>201.50487741018813</v>
      </c>
      <c r="E182" s="10">
        <v>1.83</v>
      </c>
      <c r="F182" s="11">
        <f t="shared" si="16"/>
        <v>168.80253185539533</v>
      </c>
      <c r="G182" s="8">
        <v>0.31</v>
      </c>
      <c r="H182" s="8">
        <v>1.35</v>
      </c>
      <c r="I182" s="8">
        <v>2.6341999999999999</v>
      </c>
      <c r="J182" s="11">
        <v>48.973870967741938</v>
      </c>
      <c r="K182" s="8">
        <v>101.83</v>
      </c>
      <c r="L182" s="8">
        <v>234.79</v>
      </c>
      <c r="M182" s="8">
        <v>0.94</v>
      </c>
      <c r="N182" s="11">
        <v>2.7027399999999999</v>
      </c>
      <c r="O182" s="11">
        <f t="shared" si="14"/>
        <v>5.6376122009516232</v>
      </c>
      <c r="P182" s="11">
        <f t="shared" si="17"/>
        <v>216.60864098110747</v>
      </c>
      <c r="Q182" s="13">
        <v>0.01</v>
      </c>
      <c r="R182" s="11">
        <f t="shared" si="18"/>
        <v>154.50854923384995</v>
      </c>
      <c r="S182" s="13">
        <v>1.47</v>
      </c>
      <c r="T182" s="11">
        <f t="shared" si="20"/>
        <v>171.09926681480752</v>
      </c>
      <c r="U182" s="13">
        <v>0.34</v>
      </c>
      <c r="V182" s="11">
        <f t="shared" si="19"/>
        <v>197.15445294415767</v>
      </c>
      <c r="W182" s="8">
        <v>11.88</v>
      </c>
      <c r="X182" s="8">
        <v>6.97</v>
      </c>
      <c r="Y182" s="20">
        <v>4.5</v>
      </c>
    </row>
    <row r="183" spans="1:25" x14ac:dyDescent="0.3">
      <c r="A183" s="6">
        <v>42036</v>
      </c>
      <c r="B183" s="14">
        <v>4160.34</v>
      </c>
      <c r="C183" s="10">
        <v>1.22</v>
      </c>
      <c r="D183" s="11">
        <f t="shared" si="15"/>
        <v>203.96323691459241</v>
      </c>
      <c r="E183" s="8">
        <v>2.2000000000000002</v>
      </c>
      <c r="F183" s="11">
        <f t="shared" si="16"/>
        <v>172.51618755621402</v>
      </c>
      <c r="G183" s="10">
        <v>0.59</v>
      </c>
      <c r="H183" s="10">
        <v>1.1200000000000001</v>
      </c>
      <c r="I183" s="10">
        <v>2.8165</v>
      </c>
      <c r="J183" s="11">
        <v>56.481428571428573</v>
      </c>
      <c r="K183" s="10">
        <v>101.11</v>
      </c>
      <c r="L183" s="10">
        <v>235.31</v>
      </c>
      <c r="M183" s="10">
        <v>0.82</v>
      </c>
      <c r="N183" s="11">
        <v>2.8081100000000001</v>
      </c>
      <c r="O183" s="11">
        <f t="shared" si="14"/>
        <v>3.752345883886322</v>
      </c>
      <c r="P183" s="11">
        <f t="shared" si="17"/>
        <v>224.73654640510415</v>
      </c>
      <c r="Q183" s="13">
        <v>8.42</v>
      </c>
      <c r="R183" s="11">
        <f t="shared" si="18"/>
        <v>167.51816907934011</v>
      </c>
      <c r="S183" s="13">
        <v>7.19</v>
      </c>
      <c r="T183" s="11">
        <f t="shared" si="20"/>
        <v>183.4013040987922</v>
      </c>
      <c r="U183" s="13">
        <v>5.32</v>
      </c>
      <c r="V183" s="11">
        <f t="shared" si="19"/>
        <v>207.64306984078686</v>
      </c>
      <c r="W183" s="10">
        <v>10.3</v>
      </c>
      <c r="X183" s="10">
        <v>6.88</v>
      </c>
      <c r="Y183" s="20">
        <v>4.5</v>
      </c>
    </row>
    <row r="184" spans="1:25" x14ac:dyDescent="0.3">
      <c r="A184" s="6">
        <v>42064</v>
      </c>
      <c r="B184" s="7">
        <v>4215.26</v>
      </c>
      <c r="C184" s="8">
        <v>1.32</v>
      </c>
      <c r="D184" s="11">
        <f t="shared" si="15"/>
        <v>206.65555164186503</v>
      </c>
      <c r="E184" s="10">
        <v>0.46</v>
      </c>
      <c r="F184" s="11">
        <f t="shared" si="16"/>
        <v>173.30976201897261</v>
      </c>
      <c r="G184" s="8">
        <v>0.56999999999999995</v>
      </c>
      <c r="H184" s="8">
        <v>0.81</v>
      </c>
      <c r="I184" s="8">
        <v>3.1395</v>
      </c>
      <c r="J184" s="11">
        <v>56.58806451612903</v>
      </c>
      <c r="K184" s="8">
        <v>100.91</v>
      </c>
      <c r="L184" s="8">
        <v>235.97</v>
      </c>
      <c r="M184" s="8">
        <v>1.04</v>
      </c>
      <c r="N184" s="11">
        <v>2.8612700000000002</v>
      </c>
      <c r="O184" s="11">
        <f t="shared" si="14"/>
        <v>1.8579162399913358</v>
      </c>
      <c r="P184" s="11">
        <f t="shared" si="17"/>
        <v>228.91196319796023</v>
      </c>
      <c r="Q184" s="13">
        <v>1.26</v>
      </c>
      <c r="R184" s="11">
        <f t="shared" si="18"/>
        <v>169.6288980097398</v>
      </c>
      <c r="S184" s="13">
        <v>0.17</v>
      </c>
      <c r="T184" s="11">
        <f t="shared" si="20"/>
        <v>183.71308631576014</v>
      </c>
      <c r="U184" s="13">
        <v>1.74</v>
      </c>
      <c r="V184" s="11">
        <f t="shared" si="19"/>
        <v>211.25605925601656</v>
      </c>
      <c r="W184" s="8">
        <v>13.22</v>
      </c>
      <c r="X184" s="8">
        <v>7.01</v>
      </c>
      <c r="Y184" s="20">
        <v>4.5</v>
      </c>
    </row>
    <row r="185" spans="1:25" x14ac:dyDescent="0.3">
      <c r="A185" s="6">
        <v>42095</v>
      </c>
      <c r="B185" s="14">
        <v>4245.1899999999996</v>
      </c>
      <c r="C185" s="10">
        <v>0.71</v>
      </c>
      <c r="D185" s="11">
        <f t="shared" si="15"/>
        <v>208.12280605852229</v>
      </c>
      <c r="E185" s="8">
        <v>0.11</v>
      </c>
      <c r="F185" s="11">
        <f t="shared" si="16"/>
        <v>173.50040275719348</v>
      </c>
      <c r="G185" s="10">
        <v>0.63</v>
      </c>
      <c r="H185" s="10">
        <v>0.74</v>
      </c>
      <c r="I185" s="10">
        <v>3.0432000000000001</v>
      </c>
      <c r="J185" s="11">
        <v>58.47</v>
      </c>
      <c r="K185" s="10">
        <v>99.67</v>
      </c>
      <c r="L185" s="10">
        <v>236.19</v>
      </c>
      <c r="M185" s="10">
        <v>0.95</v>
      </c>
      <c r="N185" s="11">
        <v>2.86652</v>
      </c>
      <c r="O185" s="11">
        <f t="shared" si="14"/>
        <v>0.18314890529282038</v>
      </c>
      <c r="P185" s="11">
        <f t="shared" si="17"/>
        <v>229.33121295264161</v>
      </c>
      <c r="Q185" s="13">
        <v>-0.67</v>
      </c>
      <c r="R185" s="11">
        <f t="shared" si="18"/>
        <v>168.49238439307453</v>
      </c>
      <c r="S185" s="13">
        <v>-2.33</v>
      </c>
      <c r="T185" s="11">
        <f t="shared" si="20"/>
        <v>179.43257140460292</v>
      </c>
      <c r="U185" s="13">
        <v>-0.14000000000000001</v>
      </c>
      <c r="V185" s="11">
        <f t="shared" si="19"/>
        <v>210.96030077305812</v>
      </c>
      <c r="W185" s="10">
        <v>12.01</v>
      </c>
      <c r="X185" s="10">
        <v>6.17</v>
      </c>
      <c r="Y185" s="20">
        <v>4.5</v>
      </c>
    </row>
    <row r="186" spans="1:25" x14ac:dyDescent="0.3">
      <c r="A186" s="6">
        <v>42125</v>
      </c>
      <c r="B186" s="7">
        <v>4276.6000000000004</v>
      </c>
      <c r="C186" s="8">
        <v>0.74</v>
      </c>
      <c r="D186" s="11">
        <f t="shared" si="15"/>
        <v>209.66291482335535</v>
      </c>
      <c r="E186" s="10">
        <v>-0.28999999999999998</v>
      </c>
      <c r="F186" s="11">
        <f t="shared" si="16"/>
        <v>172.99725158919762</v>
      </c>
      <c r="G186" s="8">
        <v>0.79</v>
      </c>
      <c r="H186" s="8">
        <v>0.42</v>
      </c>
      <c r="I186" s="8">
        <v>3.0617000000000001</v>
      </c>
      <c r="J186" s="11">
        <v>64.155806451612904</v>
      </c>
      <c r="K186" s="8">
        <v>99.01</v>
      </c>
      <c r="L186" s="8">
        <v>236.98</v>
      </c>
      <c r="M186" s="8">
        <v>0.99</v>
      </c>
      <c r="N186" s="11">
        <v>2.8661099999999999</v>
      </c>
      <c r="O186" s="11">
        <f t="shared" si="14"/>
        <v>-1.4305103432876668E-2</v>
      </c>
      <c r="P186" s="11">
        <f t="shared" si="17"/>
        <v>229.29840688542487</v>
      </c>
      <c r="Q186" s="13">
        <v>0.23</v>
      </c>
      <c r="R186" s="11">
        <f t="shared" si="18"/>
        <v>168.8799168771786</v>
      </c>
      <c r="S186" s="13">
        <v>-1.2</v>
      </c>
      <c r="T186" s="11">
        <f t="shared" si="20"/>
        <v>177.27938054774768</v>
      </c>
      <c r="U186" s="13">
        <v>-0.02</v>
      </c>
      <c r="V186" s="11">
        <f t="shared" si="19"/>
        <v>210.91810871290352</v>
      </c>
      <c r="W186" s="8">
        <v>12.55</v>
      </c>
      <c r="X186" s="8">
        <v>6.11</v>
      </c>
      <c r="Y186" s="20">
        <v>4.5</v>
      </c>
    </row>
    <row r="187" spans="1:25" x14ac:dyDescent="0.3">
      <c r="A187" s="6">
        <v>42156</v>
      </c>
      <c r="B187" s="14">
        <v>4310.3900000000003</v>
      </c>
      <c r="C187" s="10">
        <v>0.79</v>
      </c>
      <c r="D187" s="11">
        <f t="shared" si="15"/>
        <v>211.31925185045986</v>
      </c>
      <c r="E187" s="8">
        <v>0.7</v>
      </c>
      <c r="F187" s="11">
        <f t="shared" si="16"/>
        <v>174.20823235032199</v>
      </c>
      <c r="G187" s="10">
        <v>0.68</v>
      </c>
      <c r="H187" s="10">
        <v>0.69</v>
      </c>
      <c r="I187" s="10">
        <v>3.1116999999999999</v>
      </c>
      <c r="J187" s="11">
        <v>61.733333333333327</v>
      </c>
      <c r="K187" s="10">
        <v>97.93</v>
      </c>
      <c r="L187" s="10">
        <v>237.64</v>
      </c>
      <c r="M187" s="10">
        <v>1.07</v>
      </c>
      <c r="N187" s="11">
        <v>2.8652700000000002</v>
      </c>
      <c r="O187" s="11">
        <f t="shared" si="14"/>
        <v>-2.9316608905957546E-2</v>
      </c>
      <c r="P187" s="11">
        <f t="shared" si="17"/>
        <v>229.23118436825067</v>
      </c>
      <c r="Q187" s="13">
        <v>-7.0000000000000007E-2</v>
      </c>
      <c r="R187" s="11">
        <f t="shared" si="18"/>
        <v>168.76170093536459</v>
      </c>
      <c r="S187" s="13">
        <v>-1.71</v>
      </c>
      <c r="T187" s="11">
        <f t="shared" si="20"/>
        <v>174.2479031403812</v>
      </c>
      <c r="U187" s="13">
        <v>0.31</v>
      </c>
      <c r="V187" s="11">
        <f t="shared" si="19"/>
        <v>211.57195484991351</v>
      </c>
      <c r="W187" s="10">
        <v>13.62</v>
      </c>
      <c r="X187" s="10">
        <v>6.38</v>
      </c>
      <c r="Y187" s="20">
        <v>4.5</v>
      </c>
    </row>
    <row r="188" spans="1:25" x14ac:dyDescent="0.3">
      <c r="A188" s="6">
        <v>42186</v>
      </c>
      <c r="B188" s="7">
        <v>4337.1099999999997</v>
      </c>
      <c r="C188" s="8">
        <v>0.62</v>
      </c>
      <c r="D188" s="11">
        <f t="shared" si="15"/>
        <v>212.62943121193271</v>
      </c>
      <c r="E188" s="10">
        <v>0.15</v>
      </c>
      <c r="F188" s="11">
        <f t="shared" si="16"/>
        <v>174.46954469884747</v>
      </c>
      <c r="G188" s="8">
        <v>0.5</v>
      </c>
      <c r="H188" s="8">
        <v>0.4</v>
      </c>
      <c r="I188" s="8">
        <v>3.2231000000000001</v>
      </c>
      <c r="J188" s="11">
        <v>57.301290322580641</v>
      </c>
      <c r="K188" s="8">
        <v>96.95</v>
      </c>
      <c r="L188" s="8">
        <v>238.01</v>
      </c>
      <c r="M188" s="8">
        <v>1.18</v>
      </c>
      <c r="N188" s="11">
        <v>2.8619400000000002</v>
      </c>
      <c r="O188" s="11">
        <f t="shared" si="14"/>
        <v>-0.1163546405585042</v>
      </c>
      <c r="P188" s="11">
        <f t="shared" si="17"/>
        <v>228.96446324763099</v>
      </c>
      <c r="Q188" s="13">
        <v>-0.28999999999999998</v>
      </c>
      <c r="R188" s="11">
        <f t="shared" si="18"/>
        <v>168.27229200265202</v>
      </c>
      <c r="S188" s="13">
        <v>-1.79</v>
      </c>
      <c r="T188" s="11">
        <f t="shared" si="20"/>
        <v>171.12886567416837</v>
      </c>
      <c r="U188" s="13">
        <v>-0.25</v>
      </c>
      <c r="V188" s="11">
        <f t="shared" si="19"/>
        <v>211.04302496278873</v>
      </c>
      <c r="W188" s="8">
        <v>15.12</v>
      </c>
      <c r="X188" s="8">
        <v>5.98</v>
      </c>
      <c r="Y188" s="20">
        <v>4.5</v>
      </c>
    </row>
    <row r="189" spans="1:25" x14ac:dyDescent="0.3">
      <c r="A189" s="6">
        <v>42217</v>
      </c>
      <c r="B189" s="14">
        <v>4346.6499999999996</v>
      </c>
      <c r="C189" s="10">
        <v>0.22</v>
      </c>
      <c r="D189" s="11">
        <f t="shared" si="15"/>
        <v>213.09721596059896</v>
      </c>
      <c r="E189" s="8">
        <v>-0.27</v>
      </c>
      <c r="F189" s="11">
        <f t="shared" si="16"/>
        <v>173.99847692816058</v>
      </c>
      <c r="G189" s="10">
        <v>0.42</v>
      </c>
      <c r="H189" s="10">
        <v>-0.01</v>
      </c>
      <c r="I189" s="10">
        <v>3.5143</v>
      </c>
      <c r="J189" s="11">
        <v>47.796129032258072</v>
      </c>
      <c r="K189" s="10">
        <v>97.39</v>
      </c>
      <c r="L189" s="10">
        <v>238.01</v>
      </c>
      <c r="M189" s="10">
        <v>1.1100000000000001</v>
      </c>
      <c r="N189" s="11">
        <v>2.8574299999999999</v>
      </c>
      <c r="O189" s="11">
        <f t="shared" si="14"/>
        <v>-0.15783413766917251</v>
      </c>
      <c r="P189" s="11">
        <f t="shared" si="17"/>
        <v>228.60307916149523</v>
      </c>
      <c r="Q189" s="13">
        <v>0.67</v>
      </c>
      <c r="R189" s="11">
        <f t="shared" si="18"/>
        <v>169.3997163590698</v>
      </c>
      <c r="S189" s="13">
        <v>0.6</v>
      </c>
      <c r="T189" s="11">
        <f t="shared" si="20"/>
        <v>172.15563886821337</v>
      </c>
      <c r="U189" s="13">
        <v>0.03</v>
      </c>
      <c r="V189" s="11">
        <f t="shared" si="19"/>
        <v>211.10633787027757</v>
      </c>
      <c r="W189" s="10">
        <v>14.16</v>
      </c>
      <c r="X189" s="10">
        <v>5.66</v>
      </c>
      <c r="Y189" s="20">
        <v>4.5</v>
      </c>
    </row>
    <row r="190" spans="1:25" x14ac:dyDescent="0.3">
      <c r="A190" s="6">
        <v>42248</v>
      </c>
      <c r="B190" s="7">
        <v>4370.12</v>
      </c>
      <c r="C190" s="8">
        <v>0.54</v>
      </c>
      <c r="D190" s="11">
        <f t="shared" si="15"/>
        <v>214.24794092678619</v>
      </c>
      <c r="E190" s="10">
        <v>0.71</v>
      </c>
      <c r="F190" s="11">
        <f t="shared" si="16"/>
        <v>175.23386611435052</v>
      </c>
      <c r="G190" s="8">
        <v>0.46</v>
      </c>
      <c r="H190" s="8">
        <v>0.38</v>
      </c>
      <c r="I190" s="8">
        <v>3.9064999999999999</v>
      </c>
      <c r="J190" s="11">
        <v>47.907333333333327</v>
      </c>
      <c r="K190" s="8">
        <v>96.59</v>
      </c>
      <c r="L190" s="8">
        <v>237.48</v>
      </c>
      <c r="M190" s="8">
        <v>1.1100000000000001</v>
      </c>
      <c r="N190" s="11">
        <v>2.8539599999999998</v>
      </c>
      <c r="O190" s="11">
        <f t="shared" si="14"/>
        <v>-0.12158544618705533</v>
      </c>
      <c r="P190" s="11">
        <f t="shared" si="17"/>
        <v>228.32513108769939</v>
      </c>
      <c r="Q190" s="13">
        <v>-0.23</v>
      </c>
      <c r="R190" s="11">
        <f t="shared" si="18"/>
        <v>169.01009701144395</v>
      </c>
      <c r="S190" s="13">
        <v>0.62</v>
      </c>
      <c r="T190" s="11">
        <f t="shared" si="20"/>
        <v>173.2230038291963</v>
      </c>
      <c r="U190" s="13">
        <v>-0.12</v>
      </c>
      <c r="V190" s="11">
        <f t="shared" si="19"/>
        <v>210.85301026483324</v>
      </c>
      <c r="W190" s="8">
        <v>14.16</v>
      </c>
      <c r="X190" s="8">
        <v>6.15</v>
      </c>
      <c r="Y190" s="20">
        <v>4.5</v>
      </c>
    </row>
    <row r="191" spans="1:25" x14ac:dyDescent="0.3">
      <c r="A191" s="6">
        <v>42278</v>
      </c>
      <c r="B191" s="14">
        <v>4405.95</v>
      </c>
      <c r="C191" s="10">
        <v>0.82</v>
      </c>
      <c r="D191" s="11">
        <f t="shared" si="15"/>
        <v>216.00477404238583</v>
      </c>
      <c r="E191" s="8">
        <v>1.72</v>
      </c>
      <c r="F191" s="11">
        <f t="shared" si="16"/>
        <v>178.24788861151734</v>
      </c>
      <c r="G191" s="10">
        <v>0.99</v>
      </c>
      <c r="H191" s="10">
        <v>0.34</v>
      </c>
      <c r="I191" s="10">
        <v>3.8801000000000001</v>
      </c>
      <c r="J191" s="11">
        <v>48.357096774193543</v>
      </c>
      <c r="K191" s="10">
        <v>97.23</v>
      </c>
      <c r="L191" s="10">
        <v>237.75</v>
      </c>
      <c r="M191" s="10">
        <v>1.1100000000000001</v>
      </c>
      <c r="N191" s="11">
        <v>2.85148</v>
      </c>
      <c r="O191" s="11">
        <f t="shared" si="14"/>
        <v>-8.69723792556783E-2</v>
      </c>
      <c r="P191" s="11">
        <f t="shared" si="17"/>
        <v>228.12655128875377</v>
      </c>
      <c r="Q191" s="13">
        <v>5.05</v>
      </c>
      <c r="R191" s="11">
        <f t="shared" si="18"/>
        <v>177.54510691052187</v>
      </c>
      <c r="S191" s="13">
        <v>12.29</v>
      </c>
      <c r="T191" s="11">
        <f t="shared" si="20"/>
        <v>194.51211099980452</v>
      </c>
      <c r="U191" s="13">
        <v>3.26</v>
      </c>
      <c r="V191" s="11">
        <f t="shared" si="19"/>
        <v>217.72681839946682</v>
      </c>
      <c r="W191" s="10">
        <v>14.16</v>
      </c>
      <c r="X191" s="10">
        <v>6.72</v>
      </c>
      <c r="Y191" s="20">
        <v>4.5</v>
      </c>
    </row>
    <row r="192" spans="1:25" x14ac:dyDescent="0.3">
      <c r="A192" s="6">
        <v>42309</v>
      </c>
      <c r="B192" s="7">
        <v>4450.45</v>
      </c>
      <c r="C192" s="8">
        <v>1.01</v>
      </c>
      <c r="D192" s="11">
        <f t="shared" si="15"/>
        <v>218.18642226021393</v>
      </c>
      <c r="E192" s="10">
        <v>1.08</v>
      </c>
      <c r="F192" s="11">
        <f t="shared" si="16"/>
        <v>180.17296580852172</v>
      </c>
      <c r="G192" s="8">
        <v>1.1399999999999999</v>
      </c>
      <c r="H192" s="8">
        <v>0.85</v>
      </c>
      <c r="I192" s="8">
        <v>3.7765</v>
      </c>
      <c r="J192" s="11">
        <v>44.711666666666673</v>
      </c>
      <c r="K192" s="8">
        <v>96.04</v>
      </c>
      <c r="L192" s="8">
        <v>238.04</v>
      </c>
      <c r="M192" s="8">
        <v>1.06</v>
      </c>
      <c r="N192" s="11">
        <v>2.8464399999999999</v>
      </c>
      <c r="O192" s="11">
        <f t="shared" si="14"/>
        <v>-0.17706327904330166</v>
      </c>
      <c r="P192" s="11">
        <f t="shared" si="17"/>
        <v>227.7226229366735</v>
      </c>
      <c r="Q192" s="13">
        <v>3.21</v>
      </c>
      <c r="R192" s="11">
        <f t="shared" si="18"/>
        <v>183.24430484234961</v>
      </c>
      <c r="S192" s="13">
        <v>9.31</v>
      </c>
      <c r="T192" s="11">
        <f t="shared" si="20"/>
        <v>212.62118853388631</v>
      </c>
      <c r="U192" s="13">
        <v>1.76</v>
      </c>
      <c r="V192" s="11">
        <f t="shared" si="19"/>
        <v>221.55881040329743</v>
      </c>
      <c r="W192" s="8">
        <v>13.49</v>
      </c>
      <c r="X192" s="8">
        <v>7.16</v>
      </c>
      <c r="Y192" s="20">
        <v>4.5</v>
      </c>
    </row>
    <row r="193" spans="1:25" x14ac:dyDescent="0.3">
      <c r="A193" s="6">
        <v>42339</v>
      </c>
      <c r="B193" s="14">
        <v>4493.17</v>
      </c>
      <c r="C193" s="10">
        <v>0.96</v>
      </c>
      <c r="D193" s="11">
        <f t="shared" si="15"/>
        <v>220.28101191391198</v>
      </c>
      <c r="E193" s="8">
        <v>1.36</v>
      </c>
      <c r="F193" s="11">
        <f t="shared" si="16"/>
        <v>182.62331814351762</v>
      </c>
      <c r="G193" s="10">
        <v>0.91</v>
      </c>
      <c r="H193" s="10">
        <v>1.26</v>
      </c>
      <c r="I193" s="10">
        <v>3.8711000000000002</v>
      </c>
      <c r="J193" s="11">
        <v>38.506774193548388</v>
      </c>
      <c r="K193" s="10">
        <v>95.7</v>
      </c>
      <c r="L193" s="10">
        <v>237.79</v>
      </c>
      <c r="M193" s="10">
        <v>1.1599999999999999</v>
      </c>
      <c r="N193" s="11">
        <v>2.8446400000000001</v>
      </c>
      <c r="O193" s="11">
        <f t="shared" si="14"/>
        <v>-6.3276899713137755E-2</v>
      </c>
      <c r="P193" s="11">
        <f t="shared" si="17"/>
        <v>227.57852712093373</v>
      </c>
      <c r="Q193" s="13">
        <v>1.26</v>
      </c>
      <c r="R193" s="11">
        <f t="shared" si="18"/>
        <v>185.55318308336322</v>
      </c>
      <c r="S193" s="13">
        <v>2.8</v>
      </c>
      <c r="T193" s="11">
        <f t="shared" si="20"/>
        <v>218.57458181283513</v>
      </c>
      <c r="U193" s="13">
        <v>0.52</v>
      </c>
      <c r="V193" s="11">
        <f t="shared" si="19"/>
        <v>222.71091621739458</v>
      </c>
      <c r="W193" s="10">
        <v>14.84</v>
      </c>
      <c r="X193" s="10">
        <v>7.19</v>
      </c>
      <c r="Y193" s="20">
        <v>4.5</v>
      </c>
    </row>
    <row r="194" spans="1:25" x14ac:dyDescent="0.3">
      <c r="A194" s="6">
        <v>42370</v>
      </c>
      <c r="B194" s="7">
        <v>4550.2299999999996</v>
      </c>
      <c r="C194" s="8">
        <v>1.27</v>
      </c>
      <c r="D194" s="11">
        <f t="shared" si="15"/>
        <v>223.07858076521867</v>
      </c>
      <c r="E194" s="10">
        <v>1.77</v>
      </c>
      <c r="F194" s="11">
        <f t="shared" si="16"/>
        <v>185.85575087465787</v>
      </c>
      <c r="G194" s="8">
        <v>0.92</v>
      </c>
      <c r="H194" s="8">
        <v>1.28</v>
      </c>
      <c r="I194" s="8">
        <v>4.0523999999999996</v>
      </c>
      <c r="J194" s="11">
        <v>31.384193548387099</v>
      </c>
      <c r="K194" s="8">
        <v>95.27</v>
      </c>
      <c r="L194" s="8">
        <v>237.82</v>
      </c>
      <c r="M194" s="8">
        <v>1.06</v>
      </c>
      <c r="N194" s="11">
        <v>2.8450099999999998</v>
      </c>
      <c r="O194" s="11">
        <f t="shared" si="14"/>
        <v>1.3005226695152547E-2</v>
      </c>
      <c r="P194" s="11">
        <f t="shared" si="17"/>
        <v>227.6081242242953</v>
      </c>
      <c r="Q194" s="13">
        <v>1.88</v>
      </c>
      <c r="R194" s="11">
        <f t="shared" si="18"/>
        <v>189.04158292533046</v>
      </c>
      <c r="S194" s="13">
        <v>3.47</v>
      </c>
      <c r="T194" s="11">
        <f t="shared" si="20"/>
        <v>226.1591198017405</v>
      </c>
      <c r="U194" s="13">
        <v>0.95</v>
      </c>
      <c r="V194" s="11">
        <f t="shared" si="19"/>
        <v>224.82666992145982</v>
      </c>
      <c r="W194" s="8">
        <v>13.49</v>
      </c>
      <c r="X194" s="8">
        <v>7.29</v>
      </c>
      <c r="Y194" s="22">
        <v>4.5</v>
      </c>
    </row>
    <row r="195" spans="1:25" x14ac:dyDescent="0.3">
      <c r="A195" s="6">
        <v>42401</v>
      </c>
      <c r="B195" s="14">
        <v>4591.18</v>
      </c>
      <c r="C195" s="10">
        <v>0.9</v>
      </c>
      <c r="D195" s="11">
        <f t="shared" si="15"/>
        <v>225.08628799210564</v>
      </c>
      <c r="E195" s="8">
        <v>0.62</v>
      </c>
      <c r="F195" s="11">
        <f t="shared" si="16"/>
        <v>187.00805653008075</v>
      </c>
      <c r="G195" s="10">
        <v>1.06</v>
      </c>
      <c r="H195" s="10">
        <v>1.07</v>
      </c>
      <c r="I195" s="10">
        <v>3.9737</v>
      </c>
      <c r="J195" s="11">
        <v>32.038620689655183</v>
      </c>
      <c r="K195" s="10">
        <v>95.23</v>
      </c>
      <c r="L195" s="10">
        <v>237.43</v>
      </c>
      <c r="M195" s="10">
        <v>1</v>
      </c>
      <c r="N195" s="11">
        <v>2.8461699999999999</v>
      </c>
      <c r="O195" s="11">
        <f t="shared" si="14"/>
        <v>4.0756525435938475E-2</v>
      </c>
      <c r="P195" s="11">
        <f t="shared" si="17"/>
        <v>227.70088938733903</v>
      </c>
      <c r="Q195" s="13">
        <v>0.55000000000000004</v>
      </c>
      <c r="R195" s="11">
        <f t="shared" si="18"/>
        <v>190.08131163141977</v>
      </c>
      <c r="S195" s="13">
        <v>4.22</v>
      </c>
      <c r="T195" s="11">
        <f t="shared" si="20"/>
        <v>235.70303465737396</v>
      </c>
      <c r="U195" s="13">
        <v>0.5</v>
      </c>
      <c r="V195" s="11">
        <f t="shared" si="19"/>
        <v>225.95080327106712</v>
      </c>
      <c r="W195" s="10">
        <v>12.68</v>
      </c>
      <c r="X195" s="10">
        <v>7.01</v>
      </c>
      <c r="Y195" s="22">
        <v>4.5</v>
      </c>
    </row>
    <row r="196" spans="1:25" x14ac:dyDescent="0.3">
      <c r="A196" s="6">
        <v>42430</v>
      </c>
      <c r="B196" s="7">
        <v>4610.92</v>
      </c>
      <c r="C196" s="8">
        <v>0.43</v>
      </c>
      <c r="D196" s="11">
        <f t="shared" si="15"/>
        <v>226.05415903047168</v>
      </c>
      <c r="E196" s="10">
        <v>0.16</v>
      </c>
      <c r="F196" s="11">
        <f t="shared" si="16"/>
        <v>187.30726942052888</v>
      </c>
      <c r="G196" s="8">
        <v>0.89</v>
      </c>
      <c r="H196" s="8">
        <v>0.51</v>
      </c>
      <c r="I196" s="8">
        <v>3.7039</v>
      </c>
      <c r="J196" s="11">
        <v>38.218387096774187</v>
      </c>
      <c r="K196" s="8">
        <v>94.5</v>
      </c>
      <c r="L196" s="8">
        <v>238.05</v>
      </c>
      <c r="M196" s="8">
        <v>1.1599999999999999</v>
      </c>
      <c r="N196" s="11">
        <v>2.84856</v>
      </c>
      <c r="O196" s="11">
        <f t="shared" si="14"/>
        <v>8.3902041733371041E-2</v>
      </c>
      <c r="P196" s="11">
        <f t="shared" si="17"/>
        <v>227.89193508258006</v>
      </c>
      <c r="Q196" s="13">
        <v>0.59</v>
      </c>
      <c r="R196" s="11">
        <f t="shared" si="18"/>
        <v>191.20279137004513</v>
      </c>
      <c r="S196" s="13">
        <v>2.0699999999999998</v>
      </c>
      <c r="T196" s="11">
        <f t="shared" si="20"/>
        <v>240.58208747478162</v>
      </c>
      <c r="U196" s="13">
        <v>-0.18</v>
      </c>
      <c r="V196" s="11">
        <f t="shared" si="19"/>
        <v>225.54409182517921</v>
      </c>
      <c r="W196" s="8">
        <v>14.84</v>
      </c>
      <c r="X196" s="8">
        <v>6.52</v>
      </c>
      <c r="Y196" s="22">
        <v>4.5</v>
      </c>
    </row>
    <row r="197" spans="1:25" x14ac:dyDescent="0.3">
      <c r="A197" s="6">
        <v>42461</v>
      </c>
      <c r="B197" s="14">
        <v>4639.05</v>
      </c>
      <c r="C197" s="10">
        <v>0.61</v>
      </c>
      <c r="D197" s="11">
        <f t="shared" si="15"/>
        <v>227.43308940055755</v>
      </c>
      <c r="E197" s="8">
        <v>0.03</v>
      </c>
      <c r="F197" s="11">
        <f t="shared" si="16"/>
        <v>187.36346160135503</v>
      </c>
      <c r="G197" s="10">
        <v>0.48</v>
      </c>
      <c r="H197" s="10">
        <v>0.67</v>
      </c>
      <c r="I197" s="10">
        <v>3.5657999999999999</v>
      </c>
      <c r="J197" s="11">
        <v>40.789666666666669</v>
      </c>
      <c r="K197" s="10">
        <v>94.44</v>
      </c>
      <c r="L197" s="10">
        <v>238.92</v>
      </c>
      <c r="M197" s="10">
        <v>1.06</v>
      </c>
      <c r="N197" s="11">
        <v>2.8498800000000002</v>
      </c>
      <c r="O197" s="11">
        <f t="shared" si="14"/>
        <v>4.631773969431028E-2</v>
      </c>
      <c r="P197" s="11">
        <f t="shared" si="17"/>
        <v>227.99748947585593</v>
      </c>
      <c r="Q197" s="13">
        <v>-0.14000000000000001</v>
      </c>
      <c r="R197" s="11">
        <f t="shared" si="18"/>
        <v>190.93510746212706</v>
      </c>
      <c r="S197" s="13">
        <v>-4.8899999999999997</v>
      </c>
      <c r="T197" s="11">
        <f t="shared" si="20"/>
        <v>228.81762339726478</v>
      </c>
      <c r="U197" s="13">
        <v>0.11</v>
      </c>
      <c r="V197" s="11">
        <f t="shared" si="19"/>
        <v>225.7921903261869</v>
      </c>
      <c r="W197" s="10">
        <v>13.49</v>
      </c>
      <c r="X197" s="10">
        <v>6.21</v>
      </c>
      <c r="Y197" s="22">
        <v>4.5</v>
      </c>
    </row>
    <row r="198" spans="1:25" x14ac:dyDescent="0.3">
      <c r="A198" s="6">
        <v>42491</v>
      </c>
      <c r="B198" s="7">
        <v>4675.2299999999996</v>
      </c>
      <c r="C198" s="8">
        <v>0.78</v>
      </c>
      <c r="D198" s="11">
        <f t="shared" si="15"/>
        <v>229.20706749788189</v>
      </c>
      <c r="E198" s="10">
        <v>-0.57999999999999996</v>
      </c>
      <c r="F198" s="11">
        <f t="shared" si="16"/>
        <v>186.27675352406717</v>
      </c>
      <c r="G198" s="8">
        <v>0.71</v>
      </c>
      <c r="H198" s="8">
        <v>0.47</v>
      </c>
      <c r="I198" s="8">
        <v>3.5392999999999999</v>
      </c>
      <c r="J198" s="11">
        <v>46.566774193548383</v>
      </c>
      <c r="K198" s="8">
        <v>94.11</v>
      </c>
      <c r="L198" s="8">
        <v>239.5</v>
      </c>
      <c r="M198" s="8">
        <v>1.1100000000000001</v>
      </c>
      <c r="N198" s="11">
        <v>2.8512400000000002</v>
      </c>
      <c r="O198" s="11">
        <f t="shared" si="14"/>
        <v>4.7698545194372548E-2</v>
      </c>
      <c r="P198" s="11">
        <f t="shared" si="17"/>
        <v>228.10624096141561</v>
      </c>
      <c r="Q198" s="13">
        <v>-0.85</v>
      </c>
      <c r="R198" s="11">
        <f t="shared" si="18"/>
        <v>189.31215904869899</v>
      </c>
      <c r="S198" s="13">
        <v>-9.5399999999999991</v>
      </c>
      <c r="T198" s="11">
        <f t="shared" si="20"/>
        <v>206.98842212516573</v>
      </c>
      <c r="U198" s="13">
        <v>-0.4</v>
      </c>
      <c r="V198" s="11">
        <f t="shared" si="19"/>
        <v>224.88902156488214</v>
      </c>
      <c r="W198" s="8">
        <v>14.16</v>
      </c>
      <c r="X198" s="8">
        <v>6.17</v>
      </c>
      <c r="Y198" s="22">
        <v>4.5</v>
      </c>
    </row>
    <row r="199" spans="1:25" x14ac:dyDescent="0.3">
      <c r="A199" s="6">
        <v>42522</v>
      </c>
      <c r="B199" s="14">
        <v>4691.59</v>
      </c>
      <c r="C199" s="10">
        <v>0.35</v>
      </c>
      <c r="D199" s="11">
        <f t="shared" si="15"/>
        <v>230.00929223412447</v>
      </c>
      <c r="E199" s="8">
        <v>-0.53</v>
      </c>
      <c r="F199" s="11">
        <f t="shared" si="16"/>
        <v>185.28948673038963</v>
      </c>
      <c r="G199" s="10">
        <v>0.56000000000000005</v>
      </c>
      <c r="H199" s="10">
        <v>0.24</v>
      </c>
      <c r="I199" s="10">
        <v>3.4245000000000001</v>
      </c>
      <c r="J199" s="11">
        <v>48.513333333333343</v>
      </c>
      <c r="K199" s="10">
        <v>94.35</v>
      </c>
      <c r="L199" s="10">
        <v>240.22</v>
      </c>
      <c r="M199" s="10">
        <v>1.1599999999999999</v>
      </c>
      <c r="N199" s="11">
        <v>2.85209</v>
      </c>
      <c r="O199" s="11">
        <f t="shared" si="14"/>
        <v>2.9802706085705406E-2</v>
      </c>
      <c r="P199" s="11">
        <f t="shared" si="17"/>
        <v>228.17422279397249</v>
      </c>
      <c r="Q199" s="13">
        <v>-1.22</v>
      </c>
      <c r="R199" s="11">
        <f t="shared" si="18"/>
        <v>187.00255070830485</v>
      </c>
      <c r="S199" s="13">
        <v>-0.64</v>
      </c>
      <c r="T199" s="11">
        <f t="shared" si="20"/>
        <v>205.66369622356467</v>
      </c>
      <c r="U199" s="13">
        <v>0.41</v>
      </c>
      <c r="V199" s="11">
        <f t="shared" si="19"/>
        <v>225.81106655329816</v>
      </c>
      <c r="W199" s="10">
        <v>14.84</v>
      </c>
      <c r="X199" s="10">
        <v>6.01</v>
      </c>
      <c r="Y199" s="22">
        <v>4.5</v>
      </c>
    </row>
    <row r="200" spans="1:25" x14ac:dyDescent="0.3">
      <c r="A200" s="6">
        <v>42552</v>
      </c>
      <c r="B200" s="7">
        <v>4715.99</v>
      </c>
      <c r="C200" s="8">
        <v>0.52</v>
      </c>
      <c r="D200" s="11">
        <f t="shared" si="15"/>
        <v>231.20534055374193</v>
      </c>
      <c r="E200" s="10">
        <v>0.4</v>
      </c>
      <c r="F200" s="11">
        <f t="shared" si="16"/>
        <v>186.03064467731119</v>
      </c>
      <c r="G200" s="8">
        <v>0.93</v>
      </c>
      <c r="H200" s="8">
        <v>0.54</v>
      </c>
      <c r="I200" s="8">
        <v>3.2753000000000001</v>
      </c>
      <c r="J200" s="11">
        <v>45.372903225806454</v>
      </c>
      <c r="K200" s="8">
        <v>94.1</v>
      </c>
      <c r="L200" s="8">
        <v>240.1</v>
      </c>
      <c r="M200" s="8">
        <v>1.1100000000000001</v>
      </c>
      <c r="N200" s="11">
        <v>2.8508399999999998</v>
      </c>
      <c r="O200" s="11">
        <f t="shared" si="14"/>
        <v>-4.3846725877292152E-2</v>
      </c>
      <c r="P200" s="11">
        <f t="shared" si="17"/>
        <v>228.07417586798138</v>
      </c>
      <c r="Q200" s="13">
        <v>-0.39</v>
      </c>
      <c r="R200" s="11">
        <f t="shared" si="18"/>
        <v>186.27324076054245</v>
      </c>
      <c r="S200" s="13">
        <v>-0.49</v>
      </c>
      <c r="T200" s="11">
        <f t="shared" si="20"/>
        <v>204.65594411206919</v>
      </c>
      <c r="U200" s="13">
        <v>-0.37</v>
      </c>
      <c r="V200" s="11">
        <f t="shared" si="19"/>
        <v>224.97556560705095</v>
      </c>
      <c r="W200" s="8">
        <v>14.16</v>
      </c>
      <c r="X200" s="8">
        <v>5.7</v>
      </c>
      <c r="Y200" s="22">
        <v>4.5</v>
      </c>
    </row>
    <row r="201" spans="1:25" x14ac:dyDescent="0.3">
      <c r="A201" s="6">
        <v>42583</v>
      </c>
      <c r="B201" s="14">
        <v>4736.74</v>
      </c>
      <c r="C201" s="10">
        <v>0.44</v>
      </c>
      <c r="D201" s="11">
        <f t="shared" si="15"/>
        <v>232.2226440521784</v>
      </c>
      <c r="E201" s="8">
        <v>0.27</v>
      </c>
      <c r="F201" s="11">
        <f t="shared" si="16"/>
        <v>186.53292741793993</v>
      </c>
      <c r="G201" s="10">
        <v>0.54</v>
      </c>
      <c r="H201" s="10">
        <v>0.46</v>
      </c>
      <c r="I201" s="10">
        <v>3.2097000000000002</v>
      </c>
      <c r="J201" s="11">
        <v>45.31</v>
      </c>
      <c r="K201" s="10">
        <v>93.79</v>
      </c>
      <c r="L201" s="10">
        <v>240.55</v>
      </c>
      <c r="M201" s="10">
        <v>1.22</v>
      </c>
      <c r="N201" s="11">
        <v>2.8478300000000001</v>
      </c>
      <c r="O201" s="11">
        <f t="shared" si="14"/>
        <v>-0.10569451125944088</v>
      </c>
      <c r="P201" s="11">
        <f t="shared" si="17"/>
        <v>227.83311398248873</v>
      </c>
      <c r="Q201" s="13">
        <v>0</v>
      </c>
      <c r="R201" s="11">
        <f t="shared" si="18"/>
        <v>186.27324076054245</v>
      </c>
      <c r="S201" s="13">
        <v>0.94</v>
      </c>
      <c r="T201" s="11">
        <f t="shared" si="20"/>
        <v>206.57970998672263</v>
      </c>
      <c r="U201" s="13">
        <v>-0.01</v>
      </c>
      <c r="V201" s="11">
        <f t="shared" si="19"/>
        <v>224.95306805049026</v>
      </c>
      <c r="W201" s="10">
        <v>15.66</v>
      </c>
      <c r="X201" s="10">
        <v>5.44</v>
      </c>
      <c r="Y201" s="22">
        <v>4.5</v>
      </c>
    </row>
    <row r="202" spans="1:25" x14ac:dyDescent="0.3">
      <c r="A202" s="6">
        <v>42614</v>
      </c>
      <c r="B202" s="7">
        <v>4740.53</v>
      </c>
      <c r="C202" s="8">
        <v>0.08</v>
      </c>
      <c r="D202" s="11">
        <f t="shared" si="15"/>
        <v>232.40842216742013</v>
      </c>
      <c r="E202" s="10">
        <v>-0.1</v>
      </c>
      <c r="F202" s="11">
        <f t="shared" si="16"/>
        <v>186.34639449052199</v>
      </c>
      <c r="G202" s="8">
        <v>-0.04</v>
      </c>
      <c r="H202" s="8">
        <v>0.01</v>
      </c>
      <c r="I202" s="8">
        <v>3.2564000000000002</v>
      </c>
      <c r="J202" s="11">
        <v>46.540666666666667</v>
      </c>
      <c r="K202" s="8">
        <v>93.8</v>
      </c>
      <c r="L202" s="8">
        <v>241.18</v>
      </c>
      <c r="M202" s="8">
        <v>1.1100000000000001</v>
      </c>
      <c r="N202" s="11">
        <v>2.84334</v>
      </c>
      <c r="O202" s="11">
        <f t="shared" si="14"/>
        <v>-0.15791287710931878</v>
      </c>
      <c r="P202" s="11">
        <f t="shared" si="17"/>
        <v>227.47333615719123</v>
      </c>
      <c r="Q202" s="13">
        <v>-0.4</v>
      </c>
      <c r="R202" s="11">
        <f t="shared" si="18"/>
        <v>185.52814779750028</v>
      </c>
      <c r="S202" s="13">
        <v>0.83</v>
      </c>
      <c r="T202" s="11">
        <f t="shared" si="20"/>
        <v>208.29432157961244</v>
      </c>
      <c r="U202" s="13">
        <v>0.08</v>
      </c>
      <c r="V202" s="11">
        <f t="shared" si="19"/>
        <v>225.13303050493064</v>
      </c>
      <c r="W202" s="8">
        <v>14.16</v>
      </c>
      <c r="X202" s="8">
        <v>5.07</v>
      </c>
      <c r="Y202" s="22">
        <v>4.5</v>
      </c>
    </row>
    <row r="203" spans="1:25" x14ac:dyDescent="0.3">
      <c r="A203" s="6">
        <v>42644</v>
      </c>
      <c r="B203" s="14">
        <v>4752.8599999999997</v>
      </c>
      <c r="C203" s="10">
        <v>0.26</v>
      </c>
      <c r="D203" s="11">
        <f t="shared" si="15"/>
        <v>233.01268406505542</v>
      </c>
      <c r="E203" s="8">
        <v>0.75</v>
      </c>
      <c r="F203" s="11">
        <f t="shared" si="16"/>
        <v>187.7439924492009</v>
      </c>
      <c r="G203" s="10">
        <v>0.08</v>
      </c>
      <c r="H203" s="10">
        <v>0.25</v>
      </c>
      <c r="I203" s="10">
        <v>3.1858</v>
      </c>
      <c r="J203" s="11">
        <v>49.48516129032258</v>
      </c>
      <c r="K203" s="10">
        <v>93.6</v>
      </c>
      <c r="L203" s="10">
        <v>241.74</v>
      </c>
      <c r="M203" s="10">
        <v>1.05</v>
      </c>
      <c r="N203" s="11">
        <v>2.8403700000000001</v>
      </c>
      <c r="O203" s="11">
        <f t="shared" si="14"/>
        <v>-0.10456384203466158</v>
      </c>
      <c r="P203" s="11">
        <f t="shared" si="17"/>
        <v>227.23548129730085</v>
      </c>
      <c r="Q203" s="13">
        <v>1.22</v>
      </c>
      <c r="R203" s="11">
        <f t="shared" si="18"/>
        <v>187.7915912006298</v>
      </c>
      <c r="S203" s="13">
        <v>6.09</v>
      </c>
      <c r="T203" s="11">
        <f t="shared" si="20"/>
        <v>220.97944576381084</v>
      </c>
      <c r="U203" s="13">
        <v>0.11</v>
      </c>
      <c r="V203" s="11">
        <f t="shared" si="19"/>
        <v>225.38067683848607</v>
      </c>
      <c r="W203" s="10">
        <v>13.35</v>
      </c>
      <c r="X203" s="10">
        <v>4.87</v>
      </c>
      <c r="Y203" s="22">
        <v>4.5</v>
      </c>
    </row>
    <row r="204" spans="1:25" x14ac:dyDescent="0.3">
      <c r="A204" s="6">
        <v>42675</v>
      </c>
      <c r="B204" s="7">
        <v>4761.42</v>
      </c>
      <c r="C204" s="8">
        <v>0.18</v>
      </c>
      <c r="D204" s="11">
        <f t="shared" si="15"/>
        <v>233.43210689637252</v>
      </c>
      <c r="E204" s="10">
        <v>0.28000000000000003</v>
      </c>
      <c r="F204" s="11">
        <f t="shared" si="16"/>
        <v>188.26967562805868</v>
      </c>
      <c r="G204" s="8">
        <v>0.12</v>
      </c>
      <c r="H204" s="8">
        <v>0.21</v>
      </c>
      <c r="I204" s="8">
        <v>3.3420000000000001</v>
      </c>
      <c r="J204" s="11">
        <v>44.765000000000001</v>
      </c>
      <c r="K204" s="8">
        <v>93.44</v>
      </c>
      <c r="L204" s="8">
        <v>242.03</v>
      </c>
      <c r="M204" s="8">
        <v>1.04</v>
      </c>
      <c r="N204" s="11">
        <v>2.8393899999999999</v>
      </c>
      <c r="O204" s="11">
        <f t="shared" si="14"/>
        <v>-3.4514455569689372E-2</v>
      </c>
      <c r="P204" s="11">
        <f t="shared" si="17"/>
        <v>227.15705220806993</v>
      </c>
      <c r="Q204" s="13">
        <v>-0.43</v>
      </c>
      <c r="R204" s="11">
        <f t="shared" si="18"/>
        <v>186.98408735846709</v>
      </c>
      <c r="S204" s="13">
        <v>4.71</v>
      </c>
      <c r="T204" s="11">
        <f t="shared" si="20"/>
        <v>231.38757765928634</v>
      </c>
      <c r="U204" s="13">
        <v>-0.47</v>
      </c>
      <c r="V204" s="11">
        <f t="shared" si="19"/>
        <v>224.32138765734518</v>
      </c>
      <c r="W204" s="8">
        <v>13.22</v>
      </c>
      <c r="X204" s="8">
        <v>4.8</v>
      </c>
      <c r="Y204" s="22">
        <v>4.5</v>
      </c>
    </row>
    <row r="205" spans="1:25" x14ac:dyDescent="0.3">
      <c r="A205" s="6">
        <v>42705</v>
      </c>
      <c r="B205" s="14">
        <v>4775.7</v>
      </c>
      <c r="C205" s="10">
        <v>0.3</v>
      </c>
      <c r="D205" s="11">
        <f t="shared" si="15"/>
        <v>234.13240321706164</v>
      </c>
      <c r="E205" s="8">
        <v>1.1100000000000001</v>
      </c>
      <c r="F205" s="11">
        <f t="shared" si="16"/>
        <v>190.35946902753014</v>
      </c>
      <c r="G205" s="10">
        <v>0.32</v>
      </c>
      <c r="H205" s="10">
        <v>0.47</v>
      </c>
      <c r="I205" s="10">
        <v>3.3523000000000001</v>
      </c>
      <c r="J205" s="11">
        <v>52.56258064516129</v>
      </c>
      <c r="K205" s="10">
        <v>93.2</v>
      </c>
      <c r="L205" s="10">
        <v>242.64</v>
      </c>
      <c r="M205" s="10">
        <v>1.1200000000000001</v>
      </c>
      <c r="N205" s="11">
        <v>2.8410099999999998</v>
      </c>
      <c r="O205" s="11">
        <f t="shared" si="14"/>
        <v>5.702197457946135E-2</v>
      </c>
      <c r="P205" s="11">
        <f t="shared" si="17"/>
        <v>227.28658164463548</v>
      </c>
      <c r="Q205" s="13">
        <v>1.75</v>
      </c>
      <c r="R205" s="11">
        <f t="shared" si="18"/>
        <v>190.25630888724027</v>
      </c>
      <c r="S205" s="13">
        <v>0.75</v>
      </c>
      <c r="T205" s="11">
        <f t="shared" si="20"/>
        <v>233.12298449173099</v>
      </c>
      <c r="U205" s="13">
        <v>1.47</v>
      </c>
      <c r="V205" s="11">
        <f t="shared" si="19"/>
        <v>227.61891205590817</v>
      </c>
      <c r="W205" s="10">
        <v>14.3</v>
      </c>
      <c r="X205" s="10">
        <v>4.6900000000000004</v>
      </c>
      <c r="Y205" s="22">
        <v>4.5</v>
      </c>
    </row>
    <row r="206" spans="1:25" x14ac:dyDescent="0.3">
      <c r="A206" s="6">
        <v>42736</v>
      </c>
      <c r="B206" s="7">
        <v>4793.8500000000004</v>
      </c>
      <c r="C206" s="8">
        <v>0.38</v>
      </c>
      <c r="D206" s="11">
        <f t="shared" si="15"/>
        <v>235.02210634928647</v>
      </c>
      <c r="E206" s="10">
        <v>0.77</v>
      </c>
      <c r="F206" s="11">
        <f t="shared" si="16"/>
        <v>191.82523693904213</v>
      </c>
      <c r="G206" s="8">
        <v>0.24</v>
      </c>
      <c r="H206" s="8">
        <v>0.25</v>
      </c>
      <c r="I206" s="8">
        <v>3.1966000000000001</v>
      </c>
      <c r="J206" s="11">
        <v>54.521290322580647</v>
      </c>
      <c r="K206" s="8">
        <v>93.9</v>
      </c>
      <c r="L206" s="8">
        <v>243.62</v>
      </c>
      <c r="M206" s="8">
        <v>1.0900000000000001</v>
      </c>
      <c r="N206" s="11">
        <v>2.8393799999999998</v>
      </c>
      <c r="O206" s="11">
        <f t="shared" si="14"/>
        <v>-5.7406898689151171E-2</v>
      </c>
      <c r="P206" s="11">
        <f t="shared" si="17"/>
        <v>227.1561034669767</v>
      </c>
      <c r="Q206" s="13">
        <v>0.84</v>
      </c>
      <c r="R206" s="11">
        <f t="shared" si="18"/>
        <v>191.85446188189309</v>
      </c>
      <c r="S206" s="13">
        <v>3.1</v>
      </c>
      <c r="T206" s="11">
        <f t="shared" si="20"/>
        <v>240.34979701097464</v>
      </c>
      <c r="U206" s="13">
        <v>1.95</v>
      </c>
      <c r="V206" s="11">
        <f t="shared" si="19"/>
        <v>232.05748084099838</v>
      </c>
      <c r="W206" s="8">
        <v>13.89</v>
      </c>
      <c r="X206" s="8">
        <v>4.71</v>
      </c>
      <c r="Y206" s="20">
        <v>4.5</v>
      </c>
    </row>
    <row r="207" spans="1:25" x14ac:dyDescent="0.3">
      <c r="A207" s="6">
        <v>42767</v>
      </c>
      <c r="B207" s="14">
        <v>4809.67</v>
      </c>
      <c r="C207" s="10">
        <v>0.33</v>
      </c>
      <c r="D207" s="11">
        <f t="shared" si="15"/>
        <v>235.79767930023911</v>
      </c>
      <c r="E207" s="8">
        <v>0.24</v>
      </c>
      <c r="F207" s="11">
        <f t="shared" si="16"/>
        <v>192.28561750769583</v>
      </c>
      <c r="G207" s="10">
        <v>-0.12</v>
      </c>
      <c r="H207" s="10">
        <v>0.56999999999999995</v>
      </c>
      <c r="I207" s="10">
        <v>3.1042000000000001</v>
      </c>
      <c r="J207" s="11">
        <v>54.902857142857137</v>
      </c>
      <c r="K207" s="10">
        <v>95.13</v>
      </c>
      <c r="L207" s="10">
        <v>244.01</v>
      </c>
      <c r="M207" s="10">
        <v>0.87</v>
      </c>
      <c r="N207" s="11">
        <v>2.8329599999999999</v>
      </c>
      <c r="O207" s="11">
        <f t="shared" si="14"/>
        <v>-0.22661809556082227</v>
      </c>
      <c r="P207" s="11">
        <f t="shared" si="17"/>
        <v>226.64132663134967</v>
      </c>
      <c r="Q207" s="13">
        <v>-0.21</v>
      </c>
      <c r="R207" s="11">
        <f t="shared" si="18"/>
        <v>191.45156751194111</v>
      </c>
      <c r="S207" s="13">
        <v>-0.72</v>
      </c>
      <c r="T207" s="11">
        <f t="shared" si="20"/>
        <v>238.61927847249564</v>
      </c>
      <c r="U207" s="13">
        <v>0.42</v>
      </c>
      <c r="V207" s="11">
        <f t="shared" si="19"/>
        <v>233.03212226053057</v>
      </c>
      <c r="W207" s="10">
        <v>10.95</v>
      </c>
      <c r="X207" s="10">
        <v>4.53</v>
      </c>
      <c r="Y207" s="20">
        <v>4.5</v>
      </c>
    </row>
    <row r="208" spans="1:25" x14ac:dyDescent="0.3">
      <c r="A208" s="6">
        <v>42795</v>
      </c>
      <c r="B208" s="7">
        <v>4821.6899999999996</v>
      </c>
      <c r="C208" s="8">
        <v>0.25</v>
      </c>
      <c r="D208" s="11">
        <f t="shared" si="15"/>
        <v>236.38717349848972</v>
      </c>
      <c r="E208" s="10">
        <v>-0.86</v>
      </c>
      <c r="F208" s="11">
        <f t="shared" si="16"/>
        <v>190.63196119712964</v>
      </c>
      <c r="G208" s="8">
        <v>-0.1</v>
      </c>
      <c r="H208" s="8">
        <v>0.41</v>
      </c>
      <c r="I208" s="8">
        <v>3.1278999999999999</v>
      </c>
      <c r="J208" s="11">
        <v>51.638709677419357</v>
      </c>
      <c r="K208" s="8">
        <v>95.11</v>
      </c>
      <c r="L208" s="8">
        <v>243.89</v>
      </c>
      <c r="M208" s="8">
        <v>1.05</v>
      </c>
      <c r="N208" s="11">
        <v>2.8324600000000002</v>
      </c>
      <c r="O208" s="11">
        <f t="shared" si="14"/>
        <v>-1.7652499947032715E-2</v>
      </c>
      <c r="P208" s="11">
        <f t="shared" si="17"/>
        <v>226.60131877128612</v>
      </c>
      <c r="Q208" s="13">
        <v>-2.21</v>
      </c>
      <c r="R208" s="11">
        <f t="shared" si="18"/>
        <v>187.22048786992721</v>
      </c>
      <c r="S208" s="13">
        <v>-5.0999999999999996</v>
      </c>
      <c r="T208" s="11">
        <f t="shared" si="20"/>
        <v>226.44969527039837</v>
      </c>
      <c r="U208" s="13">
        <v>-1.38</v>
      </c>
      <c r="V208" s="11">
        <f t="shared" si="19"/>
        <v>229.81627897333524</v>
      </c>
      <c r="W208" s="8">
        <v>13.35</v>
      </c>
      <c r="X208" s="8">
        <v>4.45</v>
      </c>
      <c r="Y208" s="20">
        <v>4.5</v>
      </c>
    </row>
    <row r="209" spans="1:25" x14ac:dyDescent="0.3">
      <c r="A209" s="6">
        <v>42826</v>
      </c>
      <c r="B209" s="14">
        <v>4828.4399999999996</v>
      </c>
      <c r="C209" s="10">
        <v>0.14000000000000001</v>
      </c>
      <c r="D209" s="11">
        <f t="shared" si="15"/>
        <v>236.71811554138759</v>
      </c>
      <c r="E209" s="8">
        <v>-0.06</v>
      </c>
      <c r="F209" s="11">
        <f t="shared" si="16"/>
        <v>190.51758202041137</v>
      </c>
      <c r="G209" s="10">
        <v>0.01</v>
      </c>
      <c r="H209" s="10">
        <v>0.69</v>
      </c>
      <c r="I209" s="10">
        <v>3.1362000000000001</v>
      </c>
      <c r="J209" s="11">
        <v>52.374137931034483</v>
      </c>
      <c r="K209" s="10">
        <v>94.94</v>
      </c>
      <c r="L209" s="10">
        <v>244.19</v>
      </c>
      <c r="M209" s="10">
        <v>0.79</v>
      </c>
      <c r="N209" s="11">
        <v>2.8313999999999999</v>
      </c>
      <c r="O209" s="11">
        <f t="shared" si="14"/>
        <v>-3.7437310164592889E-2</v>
      </c>
      <c r="P209" s="11">
        <f t="shared" si="17"/>
        <v>226.51648533274064</v>
      </c>
      <c r="Q209" s="13">
        <v>-1.75</v>
      </c>
      <c r="R209" s="11">
        <f t="shared" si="18"/>
        <v>183.94412933220349</v>
      </c>
      <c r="S209" s="13">
        <v>-3.33</v>
      </c>
      <c r="T209" s="11">
        <f t="shared" si="20"/>
        <v>218.90892041789411</v>
      </c>
      <c r="U209" s="13">
        <v>-0.74</v>
      </c>
      <c r="V209" s="11">
        <f t="shared" si="19"/>
        <v>228.11563850893256</v>
      </c>
      <c r="W209" s="10">
        <v>9.9</v>
      </c>
      <c r="X209" s="10">
        <v>4.45</v>
      </c>
      <c r="Y209" s="20">
        <v>4.5</v>
      </c>
    </row>
    <row r="210" spans="1:25" x14ac:dyDescent="0.3">
      <c r="A210" s="6">
        <v>42856</v>
      </c>
      <c r="B210" s="7">
        <v>4843.41</v>
      </c>
      <c r="C210" s="8">
        <v>0.31</v>
      </c>
      <c r="D210" s="11">
        <f t="shared" si="15"/>
        <v>237.45194169956588</v>
      </c>
      <c r="E210" s="10">
        <v>-0.42</v>
      </c>
      <c r="F210" s="11">
        <f t="shared" si="16"/>
        <v>189.71740817592564</v>
      </c>
      <c r="G210" s="8">
        <v>0.02</v>
      </c>
      <c r="H210" s="8">
        <v>-0.18</v>
      </c>
      <c r="I210" s="8">
        <v>3.2094999999999998</v>
      </c>
      <c r="J210" s="11">
        <v>50.412580645161292</v>
      </c>
      <c r="K210" s="8">
        <v>94.8</v>
      </c>
      <c r="L210" s="8">
        <v>244</v>
      </c>
      <c r="M210" s="8">
        <v>0.93</v>
      </c>
      <c r="N210" s="11">
        <v>2.8325200000000001</v>
      </c>
      <c r="O210" s="11">
        <f t="shared" si="14"/>
        <v>3.9540762289418323E-2</v>
      </c>
      <c r="P210" s="11">
        <f t="shared" si="17"/>
        <v>226.60605167775242</v>
      </c>
      <c r="Q210" s="13">
        <v>0.33</v>
      </c>
      <c r="R210" s="11">
        <f t="shared" si="18"/>
        <v>184.55114495899977</v>
      </c>
      <c r="S210" s="13">
        <v>-2.17</v>
      </c>
      <c r="T210" s="11">
        <f t="shared" si="20"/>
        <v>214.15859684482581</v>
      </c>
      <c r="U210" s="13">
        <v>-0.32</v>
      </c>
      <c r="V210" s="11">
        <f t="shared" si="19"/>
        <v>227.38566846570399</v>
      </c>
      <c r="W210" s="8">
        <v>11.75</v>
      </c>
      <c r="X210" s="8">
        <v>4.6399999999999997</v>
      </c>
      <c r="Y210" s="20">
        <v>4.5</v>
      </c>
    </row>
    <row r="211" spans="1:25" x14ac:dyDescent="0.3">
      <c r="A211" s="6">
        <v>42887</v>
      </c>
      <c r="B211" s="14">
        <v>4832.2700000000004</v>
      </c>
      <c r="C211" s="10">
        <v>-0.23</v>
      </c>
      <c r="D211" s="11">
        <f t="shared" si="15"/>
        <v>236.90580223365689</v>
      </c>
      <c r="E211" s="8">
        <v>-0.52</v>
      </c>
      <c r="F211" s="11">
        <f t="shared" si="16"/>
        <v>188.73087765341083</v>
      </c>
      <c r="G211" s="10">
        <v>-0.24</v>
      </c>
      <c r="H211" s="10">
        <v>0.14000000000000001</v>
      </c>
      <c r="I211" s="10">
        <v>3.2953999999999999</v>
      </c>
      <c r="J211" s="11">
        <v>46.557000000000002</v>
      </c>
      <c r="K211" s="10">
        <v>95.26</v>
      </c>
      <c r="L211" s="10">
        <v>244.16</v>
      </c>
      <c r="M211" s="10">
        <v>0.81</v>
      </c>
      <c r="N211" s="11">
        <v>2.8348599999999999</v>
      </c>
      <c r="O211" s="11">
        <f t="shared" si="14"/>
        <v>8.2543758774676235E-2</v>
      </c>
      <c r="P211" s="11">
        <f t="shared" si="17"/>
        <v>226.79310083041813</v>
      </c>
      <c r="Q211" s="13">
        <v>-2.65</v>
      </c>
      <c r="R211" s="11">
        <f t="shared" si="18"/>
        <v>179.66053961758627</v>
      </c>
      <c r="S211" s="13">
        <v>-4.66</v>
      </c>
      <c r="T211" s="11">
        <f t="shared" si="20"/>
        <v>204.17880623185692</v>
      </c>
      <c r="U211" s="13">
        <v>-1.1599999999999999</v>
      </c>
      <c r="V211" s="11">
        <f t="shared" si="19"/>
        <v>224.74799471150183</v>
      </c>
      <c r="W211" s="10">
        <v>10.16</v>
      </c>
      <c r="X211" s="10">
        <v>4.12</v>
      </c>
      <c r="Y211" s="20">
        <v>4.5</v>
      </c>
    </row>
    <row r="212" spans="1:25" x14ac:dyDescent="0.3">
      <c r="A212" s="6">
        <v>42917</v>
      </c>
      <c r="B212" s="7">
        <v>4843.87</v>
      </c>
      <c r="C212" s="8">
        <v>0.24</v>
      </c>
      <c r="D212" s="11">
        <f t="shared" si="15"/>
        <v>237.47437615901765</v>
      </c>
      <c r="E212" s="10">
        <v>0.34</v>
      </c>
      <c r="F212" s="11">
        <f t="shared" si="16"/>
        <v>189.37256263743242</v>
      </c>
      <c r="G212" s="8">
        <v>-0.39</v>
      </c>
      <c r="H212" s="8">
        <v>0.16</v>
      </c>
      <c r="I212" s="8">
        <v>3.2061000000000002</v>
      </c>
      <c r="J212" s="11">
        <v>48.266451612903232</v>
      </c>
      <c r="K212" s="8">
        <v>95.35</v>
      </c>
      <c r="L212" s="8">
        <v>244.24</v>
      </c>
      <c r="M212" s="8">
        <v>0.8</v>
      </c>
      <c r="N212" s="11">
        <v>2.8416000000000001</v>
      </c>
      <c r="O212" s="11">
        <f t="shared" si="14"/>
        <v>0.237190315315322</v>
      </c>
      <c r="P212" s="11">
        <f t="shared" si="17"/>
        <v>227.3310321013912</v>
      </c>
      <c r="Q212" s="13">
        <v>1.06</v>
      </c>
      <c r="R212" s="11">
        <f t="shared" si="18"/>
        <v>181.56494133753267</v>
      </c>
      <c r="S212" s="13">
        <v>0.73</v>
      </c>
      <c r="T212" s="11">
        <f t="shared" si="20"/>
        <v>205.66931151734948</v>
      </c>
      <c r="U212" s="13">
        <v>-0.2</v>
      </c>
      <c r="V212" s="11">
        <f t="shared" si="19"/>
        <v>224.29849872207882</v>
      </c>
      <c r="W212" s="8">
        <v>10.029999999999999</v>
      </c>
      <c r="X212" s="8">
        <v>4.47</v>
      </c>
      <c r="Y212" s="20">
        <v>4.5</v>
      </c>
    </row>
    <row r="213" spans="1:25" x14ac:dyDescent="0.3">
      <c r="A213" s="6">
        <v>42948</v>
      </c>
      <c r="B213" s="14">
        <v>4853.07</v>
      </c>
      <c r="C213" s="10">
        <v>0.19</v>
      </c>
      <c r="D213" s="11">
        <f t="shared" si="15"/>
        <v>237.92557747371978</v>
      </c>
      <c r="E213" s="8">
        <v>1.53</v>
      </c>
      <c r="F213" s="11">
        <f t="shared" si="16"/>
        <v>192.26996284578513</v>
      </c>
      <c r="G213" s="10">
        <v>-0.34</v>
      </c>
      <c r="H213" s="10">
        <v>-0.28999999999999998</v>
      </c>
      <c r="I213" s="10">
        <v>3.1509</v>
      </c>
      <c r="J213" s="11">
        <v>51.609354838709677</v>
      </c>
      <c r="K213" s="10">
        <v>95.06</v>
      </c>
      <c r="L213" s="10">
        <v>245.18</v>
      </c>
      <c r="M213" s="10">
        <v>0.8</v>
      </c>
      <c r="N213" s="11">
        <v>2.8809100000000001</v>
      </c>
      <c r="O213" s="11">
        <f t="shared" si="14"/>
        <v>1.3644994116442357</v>
      </c>
      <c r="P213" s="11">
        <f t="shared" si="17"/>
        <v>230.43296269689947</v>
      </c>
      <c r="Q213" s="13">
        <v>7.19</v>
      </c>
      <c r="R213" s="11">
        <f t="shared" si="18"/>
        <v>194.61946061970127</v>
      </c>
      <c r="S213" s="13">
        <v>5.71</v>
      </c>
      <c r="T213" s="11">
        <f t="shared" si="20"/>
        <v>217.41302920499015</v>
      </c>
      <c r="U213" s="13">
        <v>3.88</v>
      </c>
      <c r="V213" s="11">
        <f t="shared" si="19"/>
        <v>233.00128047249547</v>
      </c>
      <c r="W213" s="10">
        <v>10.029999999999999</v>
      </c>
      <c r="X213" s="10">
        <v>4.37</v>
      </c>
      <c r="Y213" s="20">
        <v>4.5</v>
      </c>
    </row>
    <row r="214" spans="1:25" x14ac:dyDescent="0.3">
      <c r="A214" s="6">
        <v>42979</v>
      </c>
      <c r="B214" s="7">
        <v>4860.83</v>
      </c>
      <c r="C214" s="8">
        <v>0.16</v>
      </c>
      <c r="D214" s="11">
        <f t="shared" si="15"/>
        <v>238.30625839767774</v>
      </c>
      <c r="E214" s="10">
        <v>0.79</v>
      </c>
      <c r="F214" s="11">
        <f t="shared" si="16"/>
        <v>193.78889555226684</v>
      </c>
      <c r="G214" s="8">
        <v>0</v>
      </c>
      <c r="H214" s="8">
        <v>0.25</v>
      </c>
      <c r="I214" s="8">
        <v>3.1347999999999998</v>
      </c>
      <c r="J214" s="11">
        <v>55.784999999999997</v>
      </c>
      <c r="K214" s="8">
        <v>95.02</v>
      </c>
      <c r="L214" s="8">
        <v>246.44</v>
      </c>
      <c r="M214" s="8">
        <v>0.64</v>
      </c>
      <c r="N214" s="11">
        <v>2.9955500000000002</v>
      </c>
      <c r="O214" s="11">
        <f t="shared" si="14"/>
        <v>3.8270100649296479</v>
      </c>
      <c r="P214" s="11">
        <f t="shared" si="17"/>
        <v>239.2516553722254</v>
      </c>
      <c r="Q214" s="13">
        <v>2.2200000000000002</v>
      </c>
      <c r="R214" s="11">
        <f t="shared" si="18"/>
        <v>198.94001264545864</v>
      </c>
      <c r="S214" s="13">
        <v>0.63</v>
      </c>
      <c r="T214" s="11">
        <f t="shared" si="20"/>
        <v>218.78273128898158</v>
      </c>
      <c r="U214" s="13">
        <v>2.11</v>
      </c>
      <c r="V214" s="11">
        <f t="shared" si="19"/>
        <v>237.91760749046512</v>
      </c>
      <c r="W214" s="8">
        <v>7.96</v>
      </c>
      <c r="X214" s="8">
        <v>3.89</v>
      </c>
      <c r="Y214" s="20">
        <v>4.5</v>
      </c>
    </row>
    <row r="215" spans="1:25" x14ac:dyDescent="0.3">
      <c r="A215" s="6">
        <v>43009</v>
      </c>
      <c r="B215" s="14">
        <v>4881.25</v>
      </c>
      <c r="C215" s="10">
        <v>0.42</v>
      </c>
      <c r="D215" s="11">
        <f t="shared" si="15"/>
        <v>239.30714468294798</v>
      </c>
      <c r="E215" s="8">
        <v>0.49</v>
      </c>
      <c r="F215" s="11">
        <f t="shared" si="16"/>
        <v>194.73846114047294</v>
      </c>
      <c r="G215" s="10">
        <v>0.03</v>
      </c>
      <c r="H215" s="10">
        <v>0.4</v>
      </c>
      <c r="I215" s="10">
        <v>3.1911999999999998</v>
      </c>
      <c r="J215" s="11">
        <v>57.307741935483868</v>
      </c>
      <c r="K215" s="10">
        <v>95.33</v>
      </c>
      <c r="L215" s="10">
        <v>246.63</v>
      </c>
      <c r="M215" s="10">
        <v>0.64</v>
      </c>
      <c r="N215" s="11">
        <v>3.0503999999999998</v>
      </c>
      <c r="O215" s="11">
        <f t="shared" si="14"/>
        <v>1.7981248360870581</v>
      </c>
      <c r="P215" s="11">
        <f t="shared" si="17"/>
        <v>243.5536988082228</v>
      </c>
      <c r="Q215" s="13">
        <v>0.24</v>
      </c>
      <c r="R215" s="11">
        <f t="shared" si="18"/>
        <v>199.41746867580773</v>
      </c>
      <c r="S215" s="13">
        <v>1.1299999999999999</v>
      </c>
      <c r="T215" s="11">
        <f t="shared" si="20"/>
        <v>221.25497615254707</v>
      </c>
      <c r="U215" s="13">
        <v>0.71</v>
      </c>
      <c r="V215" s="11">
        <f t="shared" si="19"/>
        <v>239.60682250364741</v>
      </c>
      <c r="W215" s="10">
        <v>7.96</v>
      </c>
      <c r="X215" s="10">
        <v>4.1399999999999997</v>
      </c>
      <c r="Y215" s="20">
        <v>4.5</v>
      </c>
    </row>
    <row r="216" spans="1:25" x14ac:dyDescent="0.3">
      <c r="A216" s="6">
        <v>43040</v>
      </c>
      <c r="B216" s="7">
        <v>4894.92</v>
      </c>
      <c r="C216" s="8">
        <v>0.28000000000000003</v>
      </c>
      <c r="D216" s="11">
        <f t="shared" si="15"/>
        <v>239.97720468806023</v>
      </c>
      <c r="E216" s="10">
        <v>0.52</v>
      </c>
      <c r="F216" s="11">
        <f t="shared" si="16"/>
        <v>195.75110113840338</v>
      </c>
      <c r="G216" s="8">
        <v>-0.13</v>
      </c>
      <c r="H216" s="8">
        <v>-0.02</v>
      </c>
      <c r="I216" s="8">
        <v>3.2593999999999999</v>
      </c>
      <c r="J216" s="11">
        <v>62.578333333333333</v>
      </c>
      <c r="K216" s="8">
        <v>95.35</v>
      </c>
      <c r="L216" s="8">
        <v>247.28</v>
      </c>
      <c r="M216" s="8">
        <v>0.56999999999999995</v>
      </c>
      <c r="N216" s="11">
        <v>3.0259</v>
      </c>
      <c r="O216" s="11">
        <f t="shared" si="14"/>
        <v>-0.80967645989622072</v>
      </c>
      <c r="P216" s="11">
        <f t="shared" si="17"/>
        <v>241.58170184176609</v>
      </c>
      <c r="Q216" s="13">
        <v>2.92</v>
      </c>
      <c r="R216" s="11">
        <f t="shared" si="18"/>
        <v>205.2404587611413</v>
      </c>
      <c r="S216" s="13">
        <v>4.1399999999999997</v>
      </c>
      <c r="T216" s="11">
        <f t="shared" si="20"/>
        <v>230.41493216526251</v>
      </c>
      <c r="U216" s="13">
        <v>1.82</v>
      </c>
      <c r="V216" s="11">
        <f t="shared" si="19"/>
        <v>243.96766667321378</v>
      </c>
      <c r="W216" s="8">
        <v>7.06</v>
      </c>
      <c r="X216" s="8">
        <v>3.99</v>
      </c>
      <c r="Y216" s="20">
        <v>4.5</v>
      </c>
    </row>
    <row r="217" spans="1:25" x14ac:dyDescent="0.3">
      <c r="A217" s="6">
        <v>43070</v>
      </c>
      <c r="B217" s="14">
        <v>4916.46</v>
      </c>
      <c r="C217" s="10">
        <v>0.44</v>
      </c>
      <c r="D217" s="11">
        <f t="shared" si="15"/>
        <v>241.03310438868769</v>
      </c>
      <c r="E217" s="8">
        <v>1.23</v>
      </c>
      <c r="F217" s="11">
        <f t="shared" si="16"/>
        <v>198.15883968240576</v>
      </c>
      <c r="G217" s="10">
        <v>0.49</v>
      </c>
      <c r="H217" s="10">
        <v>0.54</v>
      </c>
      <c r="I217" s="10">
        <v>3.2919</v>
      </c>
      <c r="J217" s="11">
        <v>64.37466666666667</v>
      </c>
      <c r="K217" s="10">
        <v>96.88</v>
      </c>
      <c r="L217" s="10">
        <v>247.81</v>
      </c>
      <c r="M217" s="10">
        <v>0.54</v>
      </c>
      <c r="N217" s="11">
        <v>2.9519500000000001</v>
      </c>
      <c r="O217" s="11">
        <f t="shared" si="14"/>
        <v>-2.5051237317705231</v>
      </c>
      <c r="P217" s="11">
        <f t="shared" si="17"/>
        <v>235.52978129731289</v>
      </c>
      <c r="Q217" s="13">
        <v>2.2599999999999998</v>
      </c>
      <c r="R217" s="11">
        <f t="shared" si="18"/>
        <v>209.87889312914308</v>
      </c>
      <c r="S217" s="13">
        <v>4.37</v>
      </c>
      <c r="T217" s="11">
        <f t="shared" si="20"/>
        <v>240.48406470088449</v>
      </c>
      <c r="U217" s="13">
        <v>1.0900000000000001</v>
      </c>
      <c r="V217" s="11">
        <f t="shared" si="19"/>
        <v>246.62691423995182</v>
      </c>
      <c r="W217" s="10">
        <v>6.68</v>
      </c>
      <c r="X217" s="10">
        <v>3.8</v>
      </c>
      <c r="Y217" s="20">
        <v>4.5</v>
      </c>
    </row>
    <row r="218" spans="1:25" x14ac:dyDescent="0.3">
      <c r="A218" s="6">
        <v>43101</v>
      </c>
      <c r="B218" s="7">
        <v>4930.72</v>
      </c>
      <c r="C218" s="8">
        <v>0.28999999999999998</v>
      </c>
      <c r="D218" s="11">
        <f t="shared" si="15"/>
        <v>241.73210039141489</v>
      </c>
      <c r="E218" s="10">
        <v>1.1000000000000001</v>
      </c>
      <c r="F218" s="11">
        <f t="shared" si="16"/>
        <v>200.33858691891223</v>
      </c>
      <c r="G218" s="8">
        <v>0.01</v>
      </c>
      <c r="H218" s="8">
        <v>0.57999999999999996</v>
      </c>
      <c r="I218" s="8">
        <v>3.2105999999999999</v>
      </c>
      <c r="J218" s="11">
        <v>68.925161290322578</v>
      </c>
      <c r="K218" s="8">
        <v>96.23</v>
      </c>
      <c r="L218" s="8">
        <v>248.86</v>
      </c>
      <c r="M218" s="8">
        <v>0.57999999999999996</v>
      </c>
      <c r="N218" s="11">
        <v>2.93615</v>
      </c>
      <c r="O218" s="11">
        <f t="shared" si="14"/>
        <v>-0.53811964647582844</v>
      </c>
      <c r="P218" s="11">
        <f t="shared" si="17"/>
        <v>234.26234927085051</v>
      </c>
      <c r="Q218" s="13">
        <v>2.44</v>
      </c>
      <c r="R218" s="11">
        <f t="shared" si="18"/>
        <v>214.99993812149418</v>
      </c>
      <c r="S218" s="13">
        <v>3.55</v>
      </c>
      <c r="T218" s="11">
        <f t="shared" si="20"/>
        <v>249.02124899776589</v>
      </c>
      <c r="U218" s="13">
        <v>1.8</v>
      </c>
      <c r="V218" s="11">
        <f t="shared" si="19"/>
        <v>251.06619869627096</v>
      </c>
      <c r="W218" s="8">
        <v>7.19</v>
      </c>
      <c r="X218" s="8">
        <v>3.98</v>
      </c>
      <c r="Y218" s="22">
        <v>4.5</v>
      </c>
    </row>
    <row r="219" spans="1:25" x14ac:dyDescent="0.3">
      <c r="A219" s="6">
        <v>43132</v>
      </c>
      <c r="B219" s="14">
        <v>4946.5</v>
      </c>
      <c r="C219" s="10">
        <v>0.32</v>
      </c>
      <c r="D219" s="11">
        <f t="shared" si="15"/>
        <v>242.50564311266743</v>
      </c>
      <c r="E219" s="8">
        <v>0.74</v>
      </c>
      <c r="F219" s="11">
        <f t="shared" si="16"/>
        <v>201.82109246211218</v>
      </c>
      <c r="G219" s="10">
        <v>-0.2</v>
      </c>
      <c r="H219" s="10">
        <v>0.61</v>
      </c>
      <c r="I219" s="10">
        <v>3.2414999999999998</v>
      </c>
      <c r="J219" s="11">
        <v>65.456296296296287</v>
      </c>
      <c r="K219" s="10">
        <v>95.92</v>
      </c>
      <c r="L219" s="10">
        <v>249.53</v>
      </c>
      <c r="M219" s="10">
        <v>0.47</v>
      </c>
      <c r="N219" s="11">
        <v>2.9501599999999999</v>
      </c>
      <c r="O219" s="11">
        <f t="shared" si="14"/>
        <v>0.4748894975187738</v>
      </c>
      <c r="P219" s="11">
        <f t="shared" si="17"/>
        <v>235.37483656417854</v>
      </c>
      <c r="Q219" s="13">
        <v>0.85</v>
      </c>
      <c r="R219" s="11">
        <f t="shared" si="18"/>
        <v>216.82743759552687</v>
      </c>
      <c r="S219" s="13">
        <v>1.42</v>
      </c>
      <c r="T219" s="11">
        <f t="shared" si="20"/>
        <v>252.55735073353418</v>
      </c>
      <c r="U219" s="13">
        <v>0.65</v>
      </c>
      <c r="V219" s="11">
        <f t="shared" si="19"/>
        <v>252.69812898779671</v>
      </c>
      <c r="W219" s="10">
        <v>5.79</v>
      </c>
      <c r="X219" s="10">
        <v>3.92</v>
      </c>
      <c r="Y219" s="22">
        <v>4.5</v>
      </c>
    </row>
    <row r="220" spans="1:25" x14ac:dyDescent="0.3">
      <c r="A220" s="6">
        <v>43160</v>
      </c>
      <c r="B220" s="7">
        <v>4950.95</v>
      </c>
      <c r="C220" s="8">
        <v>0.09</v>
      </c>
      <c r="D220" s="11">
        <f t="shared" si="15"/>
        <v>242.72389819146883</v>
      </c>
      <c r="E220" s="10">
        <v>-0.25</v>
      </c>
      <c r="F220" s="11">
        <f t="shared" si="16"/>
        <v>201.31653973095689</v>
      </c>
      <c r="G220" s="8">
        <v>-0.13</v>
      </c>
      <c r="H220" s="8">
        <v>0.18</v>
      </c>
      <c r="I220" s="8">
        <v>3.2791999999999999</v>
      </c>
      <c r="J220" s="11">
        <v>66.014230769230778</v>
      </c>
      <c r="K220" s="8">
        <v>95.91</v>
      </c>
      <c r="L220" s="8">
        <v>249.58</v>
      </c>
      <c r="M220" s="8">
        <v>0.53</v>
      </c>
      <c r="N220" s="11">
        <v>2.9782099999999998</v>
      </c>
      <c r="O220" s="11">
        <f t="shared" ref="O220:O283" si="21">((N220-N219)/N220)*100</f>
        <v>0.94184090443588298</v>
      </c>
      <c r="P220" s="11">
        <f t="shared" si="17"/>
        <v>237.59169305368908</v>
      </c>
      <c r="Q220" s="13">
        <v>-0.19</v>
      </c>
      <c r="R220" s="11">
        <f t="shared" si="18"/>
        <v>216.41546546409538</v>
      </c>
      <c r="S220" s="13">
        <v>0.59</v>
      </c>
      <c r="T220" s="11">
        <f t="shared" si="20"/>
        <v>254.04743910286203</v>
      </c>
      <c r="U220" s="13">
        <v>-0.32</v>
      </c>
      <c r="V220" s="11">
        <f t="shared" si="19"/>
        <v>251.88949497503575</v>
      </c>
      <c r="W220" s="8">
        <v>6.55</v>
      </c>
      <c r="X220" s="8">
        <v>3.86</v>
      </c>
      <c r="Y220" s="22">
        <v>4.5</v>
      </c>
    </row>
    <row r="221" spans="1:25" x14ac:dyDescent="0.3">
      <c r="A221" s="6">
        <v>43191</v>
      </c>
      <c r="B221" s="14">
        <v>4961.84</v>
      </c>
      <c r="C221" s="10">
        <v>0.22</v>
      </c>
      <c r="D221" s="11">
        <f t="shared" si="15"/>
        <v>243.25789076749007</v>
      </c>
      <c r="E221" s="8">
        <v>0</v>
      </c>
      <c r="F221" s="11">
        <f t="shared" si="16"/>
        <v>201.31653973095689</v>
      </c>
      <c r="G221" s="10">
        <v>-0.01</v>
      </c>
      <c r="H221" s="10">
        <v>0.17</v>
      </c>
      <c r="I221" s="10">
        <v>3.4075000000000002</v>
      </c>
      <c r="J221" s="11">
        <v>71.913333333333341</v>
      </c>
      <c r="K221" s="10">
        <v>96.45</v>
      </c>
      <c r="L221" s="10">
        <v>250.23</v>
      </c>
      <c r="M221" s="10">
        <v>0.52</v>
      </c>
      <c r="N221" s="11">
        <v>2.9825699999999999</v>
      </c>
      <c r="O221" s="11">
        <f t="shared" si="21"/>
        <v>0.14618265455631022</v>
      </c>
      <c r="P221" s="11">
        <f t="shared" si="17"/>
        <v>237.93901089760024</v>
      </c>
      <c r="Q221" s="13">
        <v>0.26</v>
      </c>
      <c r="R221" s="11">
        <f t="shared" si="18"/>
        <v>216.97814567430203</v>
      </c>
      <c r="S221" s="13">
        <v>-2.73</v>
      </c>
      <c r="T221" s="11">
        <f t="shared" si="20"/>
        <v>247.11194401535388</v>
      </c>
      <c r="U221" s="13">
        <v>1.84</v>
      </c>
      <c r="V221" s="11">
        <f t="shared" si="19"/>
        <v>256.52426168257642</v>
      </c>
      <c r="W221" s="10">
        <v>6.42</v>
      </c>
      <c r="X221" s="10">
        <v>4.07</v>
      </c>
      <c r="Y221" s="22">
        <v>4.5</v>
      </c>
    </row>
    <row r="222" spans="1:25" x14ac:dyDescent="0.3">
      <c r="A222" s="6">
        <v>43221</v>
      </c>
      <c r="B222" s="7">
        <v>4981.6899999999996</v>
      </c>
      <c r="C222" s="8">
        <v>0.4</v>
      </c>
      <c r="D222" s="11">
        <f t="shared" si="15"/>
        <v>244.23092233056002</v>
      </c>
      <c r="E222" s="10">
        <v>0.4</v>
      </c>
      <c r="F222" s="11">
        <f t="shared" si="16"/>
        <v>202.1218058898807</v>
      </c>
      <c r="G222" s="8">
        <v>0.02</v>
      </c>
      <c r="H222" s="8">
        <v>0.11</v>
      </c>
      <c r="I222" s="8">
        <v>3.6360999999999999</v>
      </c>
      <c r="J222" s="11">
        <v>76.787307692307692</v>
      </c>
      <c r="K222" s="8">
        <v>93.56</v>
      </c>
      <c r="L222" s="8">
        <v>250.79</v>
      </c>
      <c r="M222" s="8">
        <v>0.52</v>
      </c>
      <c r="N222" s="11">
        <v>3.0224099999999998</v>
      </c>
      <c r="O222" s="11">
        <f t="shared" si="21"/>
        <v>1.3181533941457273</v>
      </c>
      <c r="P222" s="11">
        <f t="shared" si="17"/>
        <v>241.07541204574372</v>
      </c>
      <c r="Q222" s="13">
        <v>3.34</v>
      </c>
      <c r="R222" s="11">
        <f t="shared" si="18"/>
        <v>224.22521573982371</v>
      </c>
      <c r="S222" s="13">
        <v>-2.8</v>
      </c>
      <c r="T222" s="11">
        <f t="shared" si="20"/>
        <v>240.19280958292399</v>
      </c>
      <c r="U222" s="13">
        <v>6.16</v>
      </c>
      <c r="V222" s="11">
        <f t="shared" si="19"/>
        <v>272.32615620222316</v>
      </c>
      <c r="W222" s="8">
        <v>6.42</v>
      </c>
      <c r="X222" s="8">
        <v>4.3499999999999996</v>
      </c>
      <c r="Y222" s="22">
        <v>4.5</v>
      </c>
    </row>
    <row r="223" spans="1:25" x14ac:dyDescent="0.3">
      <c r="A223" s="6">
        <v>43252</v>
      </c>
      <c r="B223" s="14">
        <v>5044.46</v>
      </c>
      <c r="C223" s="10">
        <v>1.26</v>
      </c>
      <c r="D223" s="11">
        <f t="shared" si="15"/>
        <v>247.30823195192508</v>
      </c>
      <c r="E223" s="8">
        <v>1.58</v>
      </c>
      <c r="F223" s="11">
        <f t="shared" si="16"/>
        <v>205.31533042294083</v>
      </c>
      <c r="G223" s="10">
        <v>1.39</v>
      </c>
      <c r="H223" s="10">
        <v>0.38</v>
      </c>
      <c r="I223" s="10">
        <v>3.7732000000000001</v>
      </c>
      <c r="J223" s="11">
        <v>74.408846153846156</v>
      </c>
      <c r="K223" s="10">
        <v>96.16</v>
      </c>
      <c r="L223" s="10">
        <v>251.02</v>
      </c>
      <c r="M223" s="10">
        <v>0.52</v>
      </c>
      <c r="N223" s="11">
        <v>3.1981899999999999</v>
      </c>
      <c r="O223" s="11">
        <f t="shared" si="21"/>
        <v>5.4962338072472257</v>
      </c>
      <c r="P223" s="11">
        <f t="shared" si="17"/>
        <v>254.32548034356245</v>
      </c>
      <c r="Q223" s="13">
        <v>5</v>
      </c>
      <c r="R223" s="11">
        <f t="shared" si="18"/>
        <v>235.43647652681489</v>
      </c>
      <c r="S223" s="13">
        <v>4.22</v>
      </c>
      <c r="T223" s="11">
        <f t="shared" si="20"/>
        <v>250.32894614732336</v>
      </c>
      <c r="U223" s="13">
        <v>-5.66</v>
      </c>
      <c r="V223" s="11">
        <f t="shared" si="19"/>
        <v>256.91249576117735</v>
      </c>
      <c r="W223" s="10">
        <v>6.42</v>
      </c>
      <c r="X223" s="10">
        <v>4.7699999999999996</v>
      </c>
      <c r="Y223" s="22">
        <v>4.5</v>
      </c>
    </row>
    <row r="224" spans="1:25" x14ac:dyDescent="0.3">
      <c r="A224" s="6">
        <v>43282</v>
      </c>
      <c r="B224" s="7">
        <v>5061.1099999999997</v>
      </c>
      <c r="C224" s="8">
        <v>0.33</v>
      </c>
      <c r="D224" s="11">
        <f t="shared" si="15"/>
        <v>248.12434911736642</v>
      </c>
      <c r="E224" s="10">
        <v>0.49</v>
      </c>
      <c r="F224" s="11">
        <f t="shared" si="16"/>
        <v>206.32137554201324</v>
      </c>
      <c r="G224" s="8">
        <v>0.45</v>
      </c>
      <c r="H224" s="8">
        <v>-0.13</v>
      </c>
      <c r="I224" s="8">
        <v>3.8288000000000002</v>
      </c>
      <c r="J224" s="11">
        <v>74.334230769230771</v>
      </c>
      <c r="K224" s="8">
        <v>96.51</v>
      </c>
      <c r="L224" s="8">
        <v>251.21</v>
      </c>
      <c r="M224" s="8">
        <v>0.54</v>
      </c>
      <c r="N224" s="11">
        <v>3.2666400000000002</v>
      </c>
      <c r="O224" s="11">
        <f t="shared" si="21"/>
        <v>2.0954252687777148</v>
      </c>
      <c r="P224" s="11">
        <f t="shared" si="17"/>
        <v>259.65468072362177</v>
      </c>
      <c r="Q224" s="13">
        <v>-1.01</v>
      </c>
      <c r="R224" s="11">
        <f t="shared" si="18"/>
        <v>233.05856811389407</v>
      </c>
      <c r="S224" s="13">
        <v>-5.48</v>
      </c>
      <c r="T224" s="11">
        <f t="shared" si="20"/>
        <v>236.61091989845005</v>
      </c>
      <c r="U224" s="13">
        <v>-2.39</v>
      </c>
      <c r="V224" s="11">
        <f t="shared" si="19"/>
        <v>250.7722871124852</v>
      </c>
      <c r="W224" s="8">
        <v>6.68</v>
      </c>
      <c r="X224" s="8">
        <v>3.74</v>
      </c>
      <c r="Y224" s="22">
        <v>4.5</v>
      </c>
    </row>
    <row r="225" spans="1:25" x14ac:dyDescent="0.3">
      <c r="A225" s="6">
        <v>43313</v>
      </c>
      <c r="B225" s="14">
        <v>5056.5600000000004</v>
      </c>
      <c r="C225" s="10">
        <v>-0.09</v>
      </c>
      <c r="D225" s="11">
        <f t="shared" si="15"/>
        <v>247.9010372031608</v>
      </c>
      <c r="E225" s="8">
        <v>-1.22</v>
      </c>
      <c r="F225" s="11">
        <f t="shared" si="16"/>
        <v>203.80425476040068</v>
      </c>
      <c r="G225" s="10">
        <v>0.01</v>
      </c>
      <c r="H225" s="10">
        <v>-0.31</v>
      </c>
      <c r="I225" s="10">
        <v>3.9298000000000002</v>
      </c>
      <c r="J225" s="11">
        <v>72.371111111111105</v>
      </c>
      <c r="K225" s="10">
        <v>97.27</v>
      </c>
      <c r="L225" s="10">
        <v>251.66</v>
      </c>
      <c r="M225" s="10">
        <v>0.56999999999999995</v>
      </c>
      <c r="N225" s="11">
        <v>3.2630599999999998</v>
      </c>
      <c r="O225" s="11">
        <f t="shared" si="21"/>
        <v>-0.10971296880843014</v>
      </c>
      <c r="P225" s="11">
        <f t="shared" si="17"/>
        <v>259.36980586474982</v>
      </c>
      <c r="Q225" s="13">
        <v>-1.45</v>
      </c>
      <c r="R225" s="11">
        <f t="shared" si="18"/>
        <v>229.6792188762426</v>
      </c>
      <c r="S225" s="13">
        <v>-4.6900000000000004</v>
      </c>
      <c r="T225" s="11">
        <f t="shared" si="20"/>
        <v>225.51386775521274</v>
      </c>
      <c r="U225" s="13">
        <v>-0.28999999999999998</v>
      </c>
      <c r="V225" s="11">
        <f t="shared" si="19"/>
        <v>250.04504747985899</v>
      </c>
      <c r="W225" s="10">
        <v>7.06</v>
      </c>
      <c r="X225" s="10">
        <v>3.65</v>
      </c>
      <c r="Y225" s="22">
        <v>4.5</v>
      </c>
    </row>
    <row r="226" spans="1:25" x14ac:dyDescent="0.3">
      <c r="A226" s="6">
        <v>43344</v>
      </c>
      <c r="B226" s="7">
        <v>5080.83</v>
      </c>
      <c r="C226" s="8">
        <v>0.48</v>
      </c>
      <c r="D226" s="11">
        <f t="shared" si="15"/>
        <v>249.09096218173596</v>
      </c>
      <c r="E226" s="10">
        <v>1.69</v>
      </c>
      <c r="F226" s="11">
        <f t="shared" si="16"/>
        <v>207.24854666585145</v>
      </c>
      <c r="G226" s="8">
        <v>0.2</v>
      </c>
      <c r="H226" s="8">
        <v>0.4</v>
      </c>
      <c r="I226" s="8">
        <v>4.1165000000000003</v>
      </c>
      <c r="J226" s="11">
        <v>78.738</v>
      </c>
      <c r="K226" s="8">
        <v>96.7</v>
      </c>
      <c r="L226" s="8">
        <v>252.18</v>
      </c>
      <c r="M226" s="8">
        <v>0.47</v>
      </c>
      <c r="N226" s="11">
        <v>3.3348499999999999</v>
      </c>
      <c r="O226" s="11">
        <f t="shared" si="21"/>
        <v>2.1527205121669648</v>
      </c>
      <c r="P226" s="11">
        <f t="shared" si="17"/>
        <v>264.9533128779679</v>
      </c>
      <c r="Q226" s="13">
        <v>3.94</v>
      </c>
      <c r="R226" s="11">
        <f t="shared" si="18"/>
        <v>238.72858009996656</v>
      </c>
      <c r="S226" s="13">
        <v>5.42</v>
      </c>
      <c r="T226" s="11">
        <f t="shared" si="20"/>
        <v>237.73671938754526</v>
      </c>
      <c r="U226" s="13">
        <v>6.91</v>
      </c>
      <c r="V226" s="11">
        <f t="shared" si="19"/>
        <v>267.32316026071726</v>
      </c>
      <c r="W226" s="8">
        <v>5.79</v>
      </c>
      <c r="X226" s="8">
        <v>4.1399999999999997</v>
      </c>
      <c r="Y226" s="22">
        <v>4.5</v>
      </c>
    </row>
    <row r="227" spans="1:25" x14ac:dyDescent="0.3">
      <c r="A227" s="6">
        <v>43374</v>
      </c>
      <c r="B227" s="14">
        <v>5103.6899999999996</v>
      </c>
      <c r="C227" s="10">
        <v>0.45</v>
      </c>
      <c r="D227" s="11">
        <f t="shared" si="15"/>
        <v>250.21187151155377</v>
      </c>
      <c r="E227" s="8">
        <v>0.92</v>
      </c>
      <c r="F227" s="11">
        <f t="shared" si="16"/>
        <v>209.15523329517728</v>
      </c>
      <c r="G227" s="10">
        <v>0.44</v>
      </c>
      <c r="H227" s="10">
        <v>0.4</v>
      </c>
      <c r="I227" s="10">
        <v>3.7584</v>
      </c>
      <c r="J227" s="11">
        <v>81.504999999999995</v>
      </c>
      <c r="K227" s="10">
        <v>97.01</v>
      </c>
      <c r="L227" s="10">
        <v>252.77</v>
      </c>
      <c r="M227" s="10">
        <v>0.54</v>
      </c>
      <c r="N227" s="11">
        <v>3.31257</v>
      </c>
      <c r="O227" s="11">
        <f t="shared" si="21"/>
        <v>-0.67258956037155004</v>
      </c>
      <c r="P227" s="11">
        <f t="shared" si="17"/>
        <v>263.17126455569212</v>
      </c>
      <c r="Q227" s="13">
        <v>2.1800000000000002</v>
      </c>
      <c r="R227" s="11">
        <f t="shared" si="18"/>
        <v>243.93286314614585</v>
      </c>
      <c r="S227" s="13">
        <v>4.07</v>
      </c>
      <c r="T227" s="11">
        <f t="shared" si="20"/>
        <v>247.41260386661835</v>
      </c>
      <c r="U227" s="13">
        <v>2.4500000000000002</v>
      </c>
      <c r="V227" s="11">
        <f t="shared" si="19"/>
        <v>273.87257768710481</v>
      </c>
      <c r="W227" s="10">
        <v>6.68</v>
      </c>
      <c r="X227" s="10">
        <v>4.0199999999999996</v>
      </c>
      <c r="Y227" s="22">
        <v>4.5</v>
      </c>
    </row>
    <row r="228" spans="1:25" x14ac:dyDescent="0.3">
      <c r="A228" s="6">
        <v>43405</v>
      </c>
      <c r="B228" s="7">
        <v>5092.97</v>
      </c>
      <c r="C228" s="8">
        <v>-0.21</v>
      </c>
      <c r="D228" s="11">
        <f t="shared" si="15"/>
        <v>249.68642658137949</v>
      </c>
      <c r="E228" s="10">
        <v>-0.74</v>
      </c>
      <c r="F228" s="11">
        <f t="shared" si="16"/>
        <v>207.60748456879298</v>
      </c>
      <c r="G228" s="8">
        <v>-0.61</v>
      </c>
      <c r="H228" s="8">
        <v>0.64</v>
      </c>
      <c r="I228" s="8">
        <v>3.7867000000000002</v>
      </c>
      <c r="J228" s="11">
        <v>65.689230769230775</v>
      </c>
      <c r="K228" s="8">
        <v>97.19</v>
      </c>
      <c r="L228" s="8">
        <v>252.59</v>
      </c>
      <c r="M228" s="8">
        <v>0.49</v>
      </c>
      <c r="N228" s="11">
        <v>3.0372300000000001</v>
      </c>
      <c r="O228" s="11">
        <f t="shared" si="21"/>
        <v>-9.0654971799962425</v>
      </c>
      <c r="P228" s="11">
        <f t="shared" si="17"/>
        <v>239.31348098883541</v>
      </c>
      <c r="Q228" s="13">
        <v>-3.07</v>
      </c>
      <c r="R228" s="11">
        <f t="shared" si="18"/>
        <v>236.44412424755916</v>
      </c>
      <c r="S228" s="13">
        <v>-0.52</v>
      </c>
      <c r="T228" s="11">
        <f t="shared" si="20"/>
        <v>246.12605832651195</v>
      </c>
      <c r="U228" s="13">
        <v>-0.57999999999999996</v>
      </c>
      <c r="V228" s="11">
        <f t="shared" si="19"/>
        <v>272.28411673651959</v>
      </c>
      <c r="W228" s="8">
        <v>6.04</v>
      </c>
      <c r="X228" s="8">
        <v>3.4</v>
      </c>
      <c r="Y228" s="22">
        <v>4.5</v>
      </c>
    </row>
    <row r="229" spans="1:25" x14ac:dyDescent="0.3">
      <c r="A229" s="6">
        <v>43435</v>
      </c>
      <c r="B229" s="14">
        <v>5100.6099999999997</v>
      </c>
      <c r="C229" s="10">
        <v>0.15</v>
      </c>
      <c r="D229" s="11">
        <f t="shared" si="15"/>
        <v>250.06095622125156</v>
      </c>
      <c r="E229" s="8">
        <v>-0.54</v>
      </c>
      <c r="F229" s="11">
        <f t="shared" si="16"/>
        <v>206.48640415212151</v>
      </c>
      <c r="G229" s="10">
        <v>0.13</v>
      </c>
      <c r="H229" s="10">
        <v>0.84</v>
      </c>
      <c r="I229" s="10">
        <v>3.8828</v>
      </c>
      <c r="J229" s="11">
        <v>57.382272727272728</v>
      </c>
      <c r="K229" s="10">
        <v>97.58</v>
      </c>
      <c r="L229" s="10">
        <v>252.77</v>
      </c>
      <c r="M229" s="10">
        <v>0.49</v>
      </c>
      <c r="N229" s="11">
        <v>2.9317799999999998</v>
      </c>
      <c r="O229" s="11">
        <f t="shared" si="21"/>
        <v>-3.5967910279761881</v>
      </c>
      <c r="P229" s="11">
        <f t="shared" si="17"/>
        <v>230.70587517589146</v>
      </c>
      <c r="Q229" s="13">
        <v>-4.8</v>
      </c>
      <c r="R229" s="11">
        <f t="shared" si="18"/>
        <v>225.09480628367632</v>
      </c>
      <c r="S229" s="13">
        <v>-2.7</v>
      </c>
      <c r="T229" s="11">
        <f t="shared" si="20"/>
        <v>239.48065475169614</v>
      </c>
      <c r="U229" s="13">
        <v>-3.45</v>
      </c>
      <c r="V229" s="11">
        <f t="shared" si="19"/>
        <v>262.89031470910965</v>
      </c>
      <c r="W229" s="10">
        <v>6.04</v>
      </c>
      <c r="X229" s="10">
        <v>3.68</v>
      </c>
      <c r="Y229" s="22">
        <v>4.5</v>
      </c>
    </row>
    <row r="230" spans="1:25" x14ac:dyDescent="0.3">
      <c r="A230" s="6">
        <v>43466</v>
      </c>
      <c r="B230" s="7">
        <v>5116.93</v>
      </c>
      <c r="C230" s="8">
        <v>0.32</v>
      </c>
      <c r="D230" s="11">
        <f t="shared" si="15"/>
        <v>250.86115128115955</v>
      </c>
      <c r="E230" s="10">
        <v>0.02</v>
      </c>
      <c r="F230" s="11">
        <f t="shared" si="16"/>
        <v>206.52770143295194</v>
      </c>
      <c r="G230" s="8">
        <v>0.12</v>
      </c>
      <c r="H230" s="8">
        <v>0.65</v>
      </c>
      <c r="I230" s="8">
        <v>3.7416999999999998</v>
      </c>
      <c r="J230" s="11">
        <v>59.092307692307699</v>
      </c>
      <c r="K230" s="8">
        <v>97.45</v>
      </c>
      <c r="L230" s="8">
        <v>252.56</v>
      </c>
      <c r="M230" s="8">
        <v>0.54</v>
      </c>
      <c r="N230" s="11">
        <v>2.94191</v>
      </c>
      <c r="O230" s="11">
        <f t="shared" si="21"/>
        <v>0.34433412306971301</v>
      </c>
      <c r="P230" s="11">
        <f t="shared" si="17"/>
        <v>231.50027422804868</v>
      </c>
      <c r="Q230" s="13">
        <v>-2.41</v>
      </c>
      <c r="R230" s="11">
        <f t="shared" si="18"/>
        <v>219.67002145223972</v>
      </c>
      <c r="S230" s="13">
        <v>-0.75</v>
      </c>
      <c r="T230" s="11">
        <f t="shared" si="20"/>
        <v>237.68454984105841</v>
      </c>
      <c r="U230" s="13">
        <v>-1.61</v>
      </c>
      <c r="V230" s="11">
        <f t="shared" si="19"/>
        <v>258.65778064229301</v>
      </c>
      <c r="W230" s="8">
        <v>6.68</v>
      </c>
      <c r="X230" s="8">
        <v>3.98</v>
      </c>
      <c r="Y230" s="22">
        <v>4.25</v>
      </c>
    </row>
    <row r="231" spans="1:25" x14ac:dyDescent="0.3">
      <c r="A231" s="6">
        <v>43497</v>
      </c>
      <c r="B231" s="14">
        <v>5138.93</v>
      </c>
      <c r="C231" s="10">
        <v>0.43</v>
      </c>
      <c r="D231" s="11">
        <f t="shared" ref="D231:D294" si="22">D230+D230*(C231/100)</f>
        <v>251.93985423166853</v>
      </c>
      <c r="E231" s="8">
        <v>-0.34</v>
      </c>
      <c r="F231" s="11">
        <f t="shared" ref="F231:F294" si="23">F230+F230*(E231/100)</f>
        <v>205.8255072480799</v>
      </c>
      <c r="G231" s="10">
        <v>0.02</v>
      </c>
      <c r="H231" s="10">
        <v>0.85</v>
      </c>
      <c r="I231" s="10">
        <v>3.7235999999999998</v>
      </c>
      <c r="J231" s="11">
        <v>63.705652173913037</v>
      </c>
      <c r="K231" s="10">
        <v>96.72</v>
      </c>
      <c r="L231" s="10">
        <v>253.32</v>
      </c>
      <c r="M231" s="10">
        <v>0.49</v>
      </c>
      <c r="N231" s="11">
        <v>2.9958999999999998</v>
      </c>
      <c r="O231" s="11">
        <f t="shared" si="21"/>
        <v>1.8021295770886798</v>
      </c>
      <c r="P231" s="11">
        <f t="shared" ref="P231:P294" si="24">P230+P230*(O231/100)</f>
        <v>235.67220914095375</v>
      </c>
      <c r="Q231" s="13">
        <v>-1.26</v>
      </c>
      <c r="R231" s="11">
        <f t="shared" ref="R231:R294" si="25">R230+R230*(Q231/100)</f>
        <v>216.90217918194151</v>
      </c>
      <c r="S231" s="13">
        <v>-0.81</v>
      </c>
      <c r="T231" s="11">
        <f t="shared" si="20"/>
        <v>235.75930498734584</v>
      </c>
      <c r="U231" s="13">
        <v>0.36</v>
      </c>
      <c r="V231" s="11">
        <f t="shared" ref="V231:V294" si="26">V230+V230*(U231/100)</f>
        <v>259.58894865260527</v>
      </c>
      <c r="W231" s="10">
        <v>6.04</v>
      </c>
      <c r="X231" s="10">
        <v>3.94</v>
      </c>
      <c r="Y231" s="22">
        <v>4.25</v>
      </c>
    </row>
    <row r="232" spans="1:25" x14ac:dyDescent="0.3">
      <c r="A232" s="6">
        <v>43525</v>
      </c>
      <c r="B232" s="7">
        <v>5177.47</v>
      </c>
      <c r="C232" s="8">
        <v>0.75</v>
      </c>
      <c r="D232" s="11">
        <f t="shared" si="22"/>
        <v>253.82940313840604</v>
      </c>
      <c r="E232" s="10">
        <v>1.44</v>
      </c>
      <c r="F232" s="11">
        <f t="shared" si="23"/>
        <v>208.78939455245225</v>
      </c>
      <c r="G232" s="8">
        <v>0.51</v>
      </c>
      <c r="H232" s="8">
        <v>0.94</v>
      </c>
      <c r="I232" s="8">
        <v>3.8464999999999998</v>
      </c>
      <c r="J232" s="11">
        <v>66.138571428571439</v>
      </c>
      <c r="K232" s="8">
        <v>96.17</v>
      </c>
      <c r="L232" s="8">
        <v>254.28</v>
      </c>
      <c r="M232" s="8">
        <v>0.47</v>
      </c>
      <c r="N232" s="11">
        <v>3.0727699999999998</v>
      </c>
      <c r="O232" s="11">
        <f t="shared" si="21"/>
        <v>2.5016516042528405</v>
      </c>
      <c r="P232" s="11">
        <f t="shared" si="24"/>
        <v>241.56790674170654</v>
      </c>
      <c r="Q232" s="13">
        <v>2.88</v>
      </c>
      <c r="R232" s="11">
        <f t="shared" si="25"/>
        <v>223.14896194238142</v>
      </c>
      <c r="S232" s="13">
        <v>7.02</v>
      </c>
      <c r="T232" s="11">
        <f t="shared" ref="T232:T295" si="27">T231+T231*(S232/100)</f>
        <v>252.30960819745752</v>
      </c>
      <c r="U232" s="13">
        <v>1.44</v>
      </c>
      <c r="V232" s="11">
        <f t="shared" si="26"/>
        <v>263.32702951320277</v>
      </c>
      <c r="W232" s="8">
        <v>5.79</v>
      </c>
      <c r="X232" s="8">
        <v>3.98</v>
      </c>
      <c r="Y232" s="22">
        <v>4.25</v>
      </c>
    </row>
    <row r="233" spans="1:25" x14ac:dyDescent="0.3">
      <c r="A233" s="6">
        <v>43556</v>
      </c>
      <c r="B233" s="14">
        <v>5206.9799999999996</v>
      </c>
      <c r="C233" s="10">
        <v>0.56999999999999995</v>
      </c>
      <c r="D233" s="11">
        <f t="shared" si="22"/>
        <v>255.27623073629496</v>
      </c>
      <c r="E233" s="8">
        <v>0.94</v>
      </c>
      <c r="F233" s="11">
        <f t="shared" si="23"/>
        <v>210.7520148612453</v>
      </c>
      <c r="G233" s="10">
        <v>0.36</v>
      </c>
      <c r="H233" s="10">
        <v>0.45</v>
      </c>
      <c r="I233" s="10">
        <v>3.8961999999999999</v>
      </c>
      <c r="J233" s="11">
        <v>71.259500000000003</v>
      </c>
      <c r="K233" s="10">
        <v>96.23</v>
      </c>
      <c r="L233" s="10">
        <v>255.23</v>
      </c>
      <c r="M233" s="10">
        <v>0.52</v>
      </c>
      <c r="N233" s="11">
        <v>3.20384</v>
      </c>
      <c r="O233" s="11">
        <f t="shared" si="21"/>
        <v>4.0910282660807109</v>
      </c>
      <c r="P233" s="11">
        <f t="shared" si="24"/>
        <v>251.45051808828924</v>
      </c>
      <c r="Q233" s="13">
        <v>2.66</v>
      </c>
      <c r="R233" s="11">
        <f t="shared" si="25"/>
        <v>229.08472433004877</v>
      </c>
      <c r="S233" s="13">
        <v>0.6</v>
      </c>
      <c r="T233" s="11">
        <f t="shared" si="27"/>
        <v>253.82346584664228</v>
      </c>
      <c r="U233" s="13">
        <v>1.31</v>
      </c>
      <c r="V233" s="11">
        <f t="shared" si="26"/>
        <v>266.77661359982574</v>
      </c>
      <c r="W233" s="10">
        <v>6.42</v>
      </c>
      <c r="X233" s="10">
        <v>3.72</v>
      </c>
      <c r="Y233" s="22">
        <v>4.25</v>
      </c>
    </row>
    <row r="234" spans="1:25" x14ac:dyDescent="0.3">
      <c r="A234" s="6">
        <v>43586</v>
      </c>
      <c r="B234" s="7">
        <v>5213.75</v>
      </c>
      <c r="C234" s="8">
        <v>0.13</v>
      </c>
      <c r="D234" s="11">
        <f t="shared" si="22"/>
        <v>255.60808983625213</v>
      </c>
      <c r="E234" s="10">
        <v>7.0000000000000007E-2</v>
      </c>
      <c r="F234" s="11">
        <f t="shared" si="23"/>
        <v>210.89954127164816</v>
      </c>
      <c r="G234" s="8">
        <v>0.14000000000000001</v>
      </c>
      <c r="H234" s="8">
        <v>-0.53</v>
      </c>
      <c r="I234" s="8">
        <v>4.0015000000000001</v>
      </c>
      <c r="J234" s="11">
        <v>71.172608695652173</v>
      </c>
      <c r="K234" s="8">
        <v>97.54</v>
      </c>
      <c r="L234" s="8">
        <v>255.3</v>
      </c>
      <c r="M234" s="8">
        <v>0.54</v>
      </c>
      <c r="N234" s="11">
        <v>3.32003</v>
      </c>
      <c r="O234" s="11">
        <f t="shared" si="21"/>
        <v>3.4996671716821837</v>
      </c>
      <c r="P234" s="11">
        <f t="shared" si="24"/>
        <v>260.25044932284987</v>
      </c>
      <c r="Q234" s="13">
        <v>2.6</v>
      </c>
      <c r="R234" s="11">
        <f t="shared" si="25"/>
        <v>235.04092716263003</v>
      </c>
      <c r="S234" s="13">
        <v>-0.44</v>
      </c>
      <c r="T234" s="11">
        <f t="shared" si="27"/>
        <v>252.70664259691705</v>
      </c>
      <c r="U234" s="13">
        <v>2.16</v>
      </c>
      <c r="V234" s="11">
        <f t="shared" si="26"/>
        <v>272.53898845358196</v>
      </c>
      <c r="W234" s="8">
        <v>6.68</v>
      </c>
      <c r="X234" s="8">
        <v>3.54</v>
      </c>
      <c r="Y234" s="22">
        <v>4.25</v>
      </c>
    </row>
    <row r="235" spans="1:25" x14ac:dyDescent="0.3">
      <c r="A235" s="6">
        <v>43617</v>
      </c>
      <c r="B235" s="14">
        <v>5214.2700000000004</v>
      </c>
      <c r="C235" s="10">
        <v>0.01</v>
      </c>
      <c r="D235" s="11">
        <f t="shared" si="22"/>
        <v>255.63365064523575</v>
      </c>
      <c r="E235" s="8">
        <v>-0.31</v>
      </c>
      <c r="F235" s="11">
        <f t="shared" si="23"/>
        <v>210.24575269370604</v>
      </c>
      <c r="G235" s="10">
        <v>0.11</v>
      </c>
      <c r="H235" s="10">
        <v>0.06</v>
      </c>
      <c r="I235" s="10">
        <v>3.8588</v>
      </c>
      <c r="J235" s="11">
        <v>64.17</v>
      </c>
      <c r="K235" s="10">
        <v>96.98</v>
      </c>
      <c r="L235" s="10">
        <v>255.21</v>
      </c>
      <c r="M235" s="10">
        <v>0.47</v>
      </c>
      <c r="N235" s="11">
        <v>3.3494600000000001</v>
      </c>
      <c r="O235" s="11">
        <f t="shared" si="21"/>
        <v>0.87864909567512572</v>
      </c>
      <c r="P235" s="11">
        <f t="shared" si="24"/>
        <v>262.53713754231552</v>
      </c>
      <c r="Q235" s="13">
        <v>-2.04</v>
      </c>
      <c r="R235" s="11">
        <f t="shared" si="25"/>
        <v>230.24609224851238</v>
      </c>
      <c r="S235" s="13">
        <v>-5.08</v>
      </c>
      <c r="T235" s="11">
        <f t="shared" si="27"/>
        <v>239.86914515299367</v>
      </c>
      <c r="U235" s="13">
        <v>-0.83</v>
      </c>
      <c r="V235" s="11">
        <f t="shared" si="26"/>
        <v>270.27691484941721</v>
      </c>
      <c r="W235" s="10">
        <v>5.79</v>
      </c>
      <c r="X235" s="10">
        <v>3.49</v>
      </c>
      <c r="Y235" s="22">
        <v>4.25</v>
      </c>
    </row>
    <row r="236" spans="1:25" x14ac:dyDescent="0.3">
      <c r="A236" s="6">
        <v>43647</v>
      </c>
      <c r="B236" s="7">
        <v>5224.18</v>
      </c>
      <c r="C236" s="8">
        <v>0.19</v>
      </c>
      <c r="D236" s="11">
        <f t="shared" si="22"/>
        <v>256.11935458146172</v>
      </c>
      <c r="E236" s="10">
        <v>-0.17</v>
      </c>
      <c r="F236" s="11">
        <f t="shared" si="23"/>
        <v>209.88833491412674</v>
      </c>
      <c r="G236" s="8">
        <v>-0.17</v>
      </c>
      <c r="H236" s="8">
        <v>0.35</v>
      </c>
      <c r="I236" s="8">
        <v>3.7793000000000001</v>
      </c>
      <c r="J236" s="11">
        <v>63.919130434782602</v>
      </c>
      <c r="K236" s="8">
        <v>96.7</v>
      </c>
      <c r="L236" s="8">
        <v>255.8</v>
      </c>
      <c r="M236" s="8">
        <v>0.56999999999999995</v>
      </c>
      <c r="N236" s="11">
        <v>3.31413</v>
      </c>
      <c r="O236" s="11">
        <f t="shared" si="21"/>
        <v>-1.0660414648791714</v>
      </c>
      <c r="P236" s="11">
        <f t="shared" si="24"/>
        <v>259.73838279540757</v>
      </c>
      <c r="Q236" s="13">
        <v>-2.8</v>
      </c>
      <c r="R236" s="11">
        <f t="shared" si="25"/>
        <v>223.79920166555405</v>
      </c>
      <c r="S236" s="13">
        <v>-3.13</v>
      </c>
      <c r="T236" s="11">
        <f t="shared" si="27"/>
        <v>232.36124090970497</v>
      </c>
      <c r="U236" s="13">
        <v>-1.76</v>
      </c>
      <c r="V236" s="11">
        <f t="shared" si="26"/>
        <v>265.52004114806749</v>
      </c>
      <c r="W236" s="8">
        <v>7.06</v>
      </c>
      <c r="X236" s="8">
        <v>3.65</v>
      </c>
      <c r="Y236" s="22">
        <v>4.25</v>
      </c>
    </row>
    <row r="237" spans="1:25" x14ac:dyDescent="0.3">
      <c r="A237" s="6">
        <v>43678</v>
      </c>
      <c r="B237" s="14">
        <v>5229.93</v>
      </c>
      <c r="C237" s="10">
        <v>0.11</v>
      </c>
      <c r="D237" s="11">
        <f t="shared" si="22"/>
        <v>256.40108587150132</v>
      </c>
      <c r="E237" s="8">
        <v>-0.39</v>
      </c>
      <c r="F237" s="11">
        <f t="shared" si="23"/>
        <v>209.06977040796164</v>
      </c>
      <c r="G237" s="10">
        <v>0.09</v>
      </c>
      <c r="H237" s="10">
        <v>-0.19</v>
      </c>
      <c r="I237" s="10">
        <v>4.0199999999999996</v>
      </c>
      <c r="J237" s="11">
        <v>59.041818181818194</v>
      </c>
      <c r="K237" s="10">
        <v>96.93</v>
      </c>
      <c r="L237" s="10">
        <v>256.04000000000002</v>
      </c>
      <c r="M237" s="10">
        <v>0.5</v>
      </c>
      <c r="N237" s="11">
        <v>3.3444799999999999</v>
      </c>
      <c r="O237" s="11">
        <f t="shared" si="21"/>
        <v>0.90746543558340542</v>
      </c>
      <c r="P237" s="11">
        <f t="shared" si="24"/>
        <v>262.0954188422192</v>
      </c>
      <c r="Q237" s="13">
        <v>-0.45</v>
      </c>
      <c r="R237" s="11">
        <f t="shared" si="25"/>
        <v>222.79210525805905</v>
      </c>
      <c r="S237" s="13">
        <v>2.2999999999999998</v>
      </c>
      <c r="T237" s="11">
        <f t="shared" si="27"/>
        <v>237.70554945062818</v>
      </c>
      <c r="U237" s="13">
        <v>-0.76</v>
      </c>
      <c r="V237" s="11">
        <f t="shared" si="26"/>
        <v>263.50208883534219</v>
      </c>
      <c r="W237" s="10">
        <v>6.17</v>
      </c>
      <c r="X237" s="10">
        <v>3.49</v>
      </c>
      <c r="Y237" s="22">
        <v>4.25</v>
      </c>
    </row>
    <row r="238" spans="1:25" x14ac:dyDescent="0.3">
      <c r="A238" s="6">
        <v>43709</v>
      </c>
      <c r="B238" s="7">
        <v>5227.84</v>
      </c>
      <c r="C238" s="8">
        <v>-0.04</v>
      </c>
      <c r="D238" s="11">
        <f t="shared" si="22"/>
        <v>256.2985254371527</v>
      </c>
      <c r="E238" s="10">
        <v>0</v>
      </c>
      <c r="F238" s="11">
        <f t="shared" si="23"/>
        <v>209.06977040796164</v>
      </c>
      <c r="G238" s="8">
        <v>0.14000000000000001</v>
      </c>
      <c r="H238" s="8">
        <v>-0.28999999999999998</v>
      </c>
      <c r="I238" s="8">
        <v>4.1215000000000002</v>
      </c>
      <c r="J238" s="11">
        <v>62.826666666666682</v>
      </c>
      <c r="K238" s="8">
        <v>97.32</v>
      </c>
      <c r="L238" s="8">
        <v>256.43</v>
      </c>
      <c r="M238" s="8">
        <v>0.46</v>
      </c>
      <c r="N238" s="11">
        <v>3.5097999999999998</v>
      </c>
      <c r="O238" s="11">
        <f t="shared" si="21"/>
        <v>4.7102398997093831</v>
      </c>
      <c r="P238" s="11">
        <f t="shared" si="24"/>
        <v>274.44074183583581</v>
      </c>
      <c r="Q238" s="13">
        <v>-0.04</v>
      </c>
      <c r="R238" s="11">
        <f t="shared" si="25"/>
        <v>222.70298841595582</v>
      </c>
      <c r="S238" s="13">
        <v>0.46</v>
      </c>
      <c r="T238" s="11">
        <f t="shared" si="27"/>
        <v>238.79899497810106</v>
      </c>
      <c r="U238" s="13">
        <v>2.56</v>
      </c>
      <c r="V238" s="11">
        <f t="shared" si="26"/>
        <v>270.24774230952693</v>
      </c>
      <c r="W238" s="8">
        <v>5.66</v>
      </c>
      <c r="X238" s="8">
        <v>3.34</v>
      </c>
      <c r="Y238" s="22">
        <v>4.25</v>
      </c>
    </row>
    <row r="239" spans="1:25" x14ac:dyDescent="0.3">
      <c r="A239" s="6">
        <v>43739</v>
      </c>
      <c r="B239" s="14">
        <v>5233.07</v>
      </c>
      <c r="C239" s="10">
        <v>0.1</v>
      </c>
      <c r="D239" s="11">
        <f t="shared" si="22"/>
        <v>256.55482396258986</v>
      </c>
      <c r="E239" s="8">
        <v>0.45</v>
      </c>
      <c r="F239" s="11">
        <f t="shared" si="23"/>
        <v>210.01058437479747</v>
      </c>
      <c r="G239" s="10">
        <v>0.36</v>
      </c>
      <c r="H239" s="10">
        <v>0.03</v>
      </c>
      <c r="I239" s="10">
        <v>4.0869999999999997</v>
      </c>
      <c r="J239" s="11">
        <v>59.713043478260872</v>
      </c>
      <c r="K239" s="10">
        <v>98.48</v>
      </c>
      <c r="L239" s="10">
        <v>257.16000000000003</v>
      </c>
      <c r="M239" s="10">
        <v>0.48</v>
      </c>
      <c r="N239" s="11">
        <v>3.6166</v>
      </c>
      <c r="O239" s="11">
        <f t="shared" si="21"/>
        <v>2.9530498258032467</v>
      </c>
      <c r="P239" s="11">
        <f t="shared" si="24"/>
        <v>282.54511368455212</v>
      </c>
      <c r="Q239" s="13">
        <v>1.28</v>
      </c>
      <c r="R239" s="11">
        <f t="shared" si="25"/>
        <v>225.55358666768004</v>
      </c>
      <c r="S239" s="13">
        <v>1.9</v>
      </c>
      <c r="T239" s="11">
        <f t="shared" si="27"/>
        <v>243.33617588268498</v>
      </c>
      <c r="U239" s="13">
        <v>1.82</v>
      </c>
      <c r="V239" s="11">
        <f t="shared" si="26"/>
        <v>275.16625121956031</v>
      </c>
      <c r="W239" s="10">
        <v>5.91</v>
      </c>
      <c r="X239" s="10">
        <v>3.37</v>
      </c>
      <c r="Y239" s="22">
        <v>4.25</v>
      </c>
    </row>
    <row r="240" spans="1:25" x14ac:dyDescent="0.3">
      <c r="A240" s="6">
        <v>43770</v>
      </c>
      <c r="B240" s="7">
        <v>5259.76</v>
      </c>
      <c r="C240" s="8">
        <v>0.51</v>
      </c>
      <c r="D240" s="11">
        <f t="shared" si="22"/>
        <v>257.86325356479909</v>
      </c>
      <c r="E240" s="10">
        <v>0.3</v>
      </c>
      <c r="F240" s="11">
        <f t="shared" si="23"/>
        <v>210.64061612792187</v>
      </c>
      <c r="G240" s="8">
        <v>0.79</v>
      </c>
      <c r="H240" s="8">
        <v>-0.01</v>
      </c>
      <c r="I240" s="8">
        <v>4.1553000000000004</v>
      </c>
      <c r="J240" s="11">
        <v>63.211904761904762</v>
      </c>
      <c r="K240" s="8">
        <v>98.1</v>
      </c>
      <c r="L240" s="8">
        <v>257.88</v>
      </c>
      <c r="M240" s="8">
        <v>0.38</v>
      </c>
      <c r="N240" s="11">
        <v>3.66811</v>
      </c>
      <c r="O240" s="11">
        <f t="shared" si="21"/>
        <v>1.4042654118878644</v>
      </c>
      <c r="P240" s="11">
        <f t="shared" si="24"/>
        <v>286.5127969890035</v>
      </c>
      <c r="Q240" s="13">
        <v>0.42</v>
      </c>
      <c r="R240" s="11">
        <f t="shared" si="25"/>
        <v>226.50091173168428</v>
      </c>
      <c r="S240" s="13">
        <v>2.46</v>
      </c>
      <c r="T240" s="11">
        <f t="shared" si="27"/>
        <v>249.32224580939902</v>
      </c>
      <c r="U240" s="13">
        <v>0.38</v>
      </c>
      <c r="V240" s="11">
        <f t="shared" si="26"/>
        <v>276.21188297419462</v>
      </c>
      <c r="W240" s="8">
        <v>4.66</v>
      </c>
      <c r="X240" s="8">
        <v>3.81</v>
      </c>
      <c r="Y240" s="22">
        <v>4.25</v>
      </c>
    </row>
    <row r="241" spans="1:25" x14ac:dyDescent="0.3">
      <c r="A241" s="6">
        <v>43800</v>
      </c>
      <c r="B241" s="14">
        <v>5320.25</v>
      </c>
      <c r="C241" s="10">
        <v>1.1499999999999999</v>
      </c>
      <c r="D241" s="11">
        <f t="shared" si="22"/>
        <v>260.82868098079427</v>
      </c>
      <c r="E241" s="8">
        <v>1.54</v>
      </c>
      <c r="F241" s="11">
        <f t="shared" si="23"/>
        <v>213.88448161629188</v>
      </c>
      <c r="G241" s="10">
        <v>1.94</v>
      </c>
      <c r="H241" s="10">
        <v>1.01</v>
      </c>
      <c r="I241" s="10">
        <v>4.1096000000000004</v>
      </c>
      <c r="J241" s="11">
        <v>67.128500000000003</v>
      </c>
      <c r="K241" s="10">
        <v>97.8</v>
      </c>
      <c r="L241" s="10">
        <v>258.63</v>
      </c>
      <c r="M241" s="10">
        <v>0.37</v>
      </c>
      <c r="N241" s="11">
        <v>3.66377</v>
      </c>
      <c r="O241" s="11">
        <f t="shared" si="21"/>
        <v>-0.11845721756551342</v>
      </c>
      <c r="P241" s="11">
        <f t="shared" si="24"/>
        <v>286.17340190172121</v>
      </c>
      <c r="Q241" s="13">
        <v>3.36</v>
      </c>
      <c r="R241" s="11">
        <f t="shared" si="25"/>
        <v>234.11134236586886</v>
      </c>
      <c r="S241" s="13">
        <v>5.5</v>
      </c>
      <c r="T241" s="11">
        <f t="shared" si="27"/>
        <v>263.03496932891596</v>
      </c>
      <c r="U241" s="13">
        <v>0.76</v>
      </c>
      <c r="V241" s="11">
        <f t="shared" si="26"/>
        <v>278.31109328479852</v>
      </c>
      <c r="W241" s="10">
        <v>4.53</v>
      </c>
      <c r="X241" s="10">
        <v>4.0999999999999996</v>
      </c>
      <c r="Y241" s="22">
        <v>4.25</v>
      </c>
    </row>
    <row r="242" spans="1:25" x14ac:dyDescent="0.3">
      <c r="A242" s="6">
        <v>43831</v>
      </c>
      <c r="B242" s="7">
        <v>5331.42</v>
      </c>
      <c r="C242" s="8">
        <v>0.21</v>
      </c>
      <c r="D242" s="11">
        <f t="shared" si="22"/>
        <v>261.37642121085395</v>
      </c>
      <c r="E242" s="10">
        <v>0.32</v>
      </c>
      <c r="F242" s="11">
        <f t="shared" si="23"/>
        <v>214.56891195746402</v>
      </c>
      <c r="G242" s="8">
        <v>-0.28000000000000003</v>
      </c>
      <c r="H242" s="8">
        <v>0.37</v>
      </c>
      <c r="I242" s="8">
        <v>4.1494999999999997</v>
      </c>
      <c r="J242" s="11">
        <v>63.645454545454548</v>
      </c>
      <c r="K242" s="8">
        <v>97.93</v>
      </c>
      <c r="L242" s="8">
        <v>259.13</v>
      </c>
      <c r="M242" s="8">
        <v>0.38</v>
      </c>
      <c r="N242" s="11">
        <v>3.6502699999999999</v>
      </c>
      <c r="O242" s="11">
        <f t="shared" si="21"/>
        <v>-0.36983565599257229</v>
      </c>
      <c r="P242" s="11">
        <f t="shared" si="24"/>
        <v>285.1150306235217</v>
      </c>
      <c r="Q242" s="13">
        <v>0.89</v>
      </c>
      <c r="R242" s="11">
        <f t="shared" si="25"/>
        <v>236.19493331292509</v>
      </c>
      <c r="S242" s="13">
        <v>2.59</v>
      </c>
      <c r="T242" s="11">
        <f t="shared" si="27"/>
        <v>269.84757503453488</v>
      </c>
      <c r="U242" s="13">
        <v>1.34</v>
      </c>
      <c r="V242" s="11">
        <f t="shared" si="26"/>
        <v>282.0404619348148</v>
      </c>
      <c r="W242" s="8">
        <v>4.66</v>
      </c>
      <c r="X242" s="8">
        <v>3.44</v>
      </c>
      <c r="Y242" s="20">
        <v>4</v>
      </c>
    </row>
    <row r="243" spans="1:25" x14ac:dyDescent="0.3">
      <c r="A243" s="6">
        <v>43862</v>
      </c>
      <c r="B243" s="14">
        <v>5344.75</v>
      </c>
      <c r="C243" s="10">
        <v>0.25</v>
      </c>
      <c r="D243" s="11">
        <f t="shared" si="22"/>
        <v>262.02986226388106</v>
      </c>
      <c r="E243" s="8">
        <v>-0.23</v>
      </c>
      <c r="F243" s="11">
        <f t="shared" si="23"/>
        <v>214.07540345996185</v>
      </c>
      <c r="G243" s="10">
        <v>0.02</v>
      </c>
      <c r="H243" s="10">
        <v>0.71</v>
      </c>
      <c r="I243" s="10">
        <v>4.3410000000000002</v>
      </c>
      <c r="J243" s="11">
        <v>55.701999999999998</v>
      </c>
      <c r="K243" s="10">
        <v>98.07</v>
      </c>
      <c r="L243" s="10">
        <v>259.25</v>
      </c>
      <c r="M243" s="10">
        <v>0.28999999999999998</v>
      </c>
      <c r="N243" s="11">
        <v>3.6226400000000001</v>
      </c>
      <c r="O243" s="11">
        <f t="shared" si="21"/>
        <v>-0.76270344279309621</v>
      </c>
      <c r="P243" s="11">
        <f t="shared" si="24"/>
        <v>282.94044846903552</v>
      </c>
      <c r="Q243" s="13">
        <v>-0.72</v>
      </c>
      <c r="R243" s="11">
        <f t="shared" si="25"/>
        <v>234.49432979307204</v>
      </c>
      <c r="S243" s="13">
        <v>0.96</v>
      </c>
      <c r="T243" s="11">
        <f t="shared" si="27"/>
        <v>272.43811175486644</v>
      </c>
      <c r="U243" s="13">
        <v>-1.38</v>
      </c>
      <c r="V243" s="11">
        <f t="shared" si="26"/>
        <v>278.14830356011436</v>
      </c>
      <c r="W243" s="10">
        <v>3.54</v>
      </c>
      <c r="X243" s="10">
        <v>3.46</v>
      </c>
      <c r="Y243" s="20">
        <v>4</v>
      </c>
    </row>
    <row r="244" spans="1:25" x14ac:dyDescent="0.3">
      <c r="A244" s="6">
        <v>43891</v>
      </c>
      <c r="B244" s="7">
        <v>5348.49</v>
      </c>
      <c r="C244" s="8">
        <v>7.0000000000000007E-2</v>
      </c>
      <c r="D244" s="11">
        <f t="shared" si="22"/>
        <v>262.21328316746576</v>
      </c>
      <c r="E244" s="10">
        <v>-0.9</v>
      </c>
      <c r="F244" s="11">
        <f t="shared" si="23"/>
        <v>212.1487248288222</v>
      </c>
      <c r="G244" s="8">
        <v>0.14000000000000001</v>
      </c>
      <c r="H244" s="8">
        <v>0.18</v>
      </c>
      <c r="I244" s="8">
        <v>4.8838999999999997</v>
      </c>
      <c r="J244" s="11">
        <v>32.01</v>
      </c>
      <c r="K244" s="8">
        <v>91.46</v>
      </c>
      <c r="L244" s="8">
        <v>258.08</v>
      </c>
      <c r="M244" s="8">
        <v>0.34</v>
      </c>
      <c r="N244" s="11">
        <v>3.4730799999999999</v>
      </c>
      <c r="O244" s="11">
        <f t="shared" si="21"/>
        <v>-4.3062641804968544</v>
      </c>
      <c r="P244" s="11">
        <f t="shared" si="24"/>
        <v>270.75628528447629</v>
      </c>
      <c r="Q244" s="13">
        <v>-1.75</v>
      </c>
      <c r="R244" s="11">
        <f t="shared" si="25"/>
        <v>230.39067902169327</v>
      </c>
      <c r="S244" s="13">
        <v>-2.82</v>
      </c>
      <c r="T244" s="11">
        <f t="shared" si="27"/>
        <v>264.75535700337923</v>
      </c>
      <c r="U244" s="13">
        <v>-2.5499999999999998</v>
      </c>
      <c r="V244" s="11">
        <f t="shared" si="26"/>
        <v>271.05552181933143</v>
      </c>
      <c r="W244" s="8">
        <v>4.16</v>
      </c>
      <c r="X244" s="8">
        <v>3.13</v>
      </c>
      <c r="Y244" s="20">
        <v>4</v>
      </c>
    </row>
    <row r="245" spans="1:25" x14ac:dyDescent="0.3">
      <c r="A245" s="6">
        <v>43922</v>
      </c>
      <c r="B245" s="14">
        <v>5331.91</v>
      </c>
      <c r="C245" s="10">
        <v>-0.31</v>
      </c>
      <c r="D245" s="11">
        <f t="shared" si="22"/>
        <v>261.40042198964665</v>
      </c>
      <c r="E245" s="8">
        <v>-2.66</v>
      </c>
      <c r="F245" s="11">
        <f t="shared" si="23"/>
        <v>206.50556874837554</v>
      </c>
      <c r="G245" s="10">
        <v>-0.25</v>
      </c>
      <c r="H245" s="10">
        <v>0.68</v>
      </c>
      <c r="I245" s="10">
        <v>5.3255999999999997</v>
      </c>
      <c r="J245" s="11">
        <v>18.466666666666669</v>
      </c>
      <c r="K245" s="10">
        <v>83.18</v>
      </c>
      <c r="L245" s="10">
        <v>256.02999999999997</v>
      </c>
      <c r="M245" s="10">
        <v>0.28000000000000003</v>
      </c>
      <c r="N245" s="11">
        <v>2.9591500000000002</v>
      </c>
      <c r="O245" s="11">
        <f t="shared" si="21"/>
        <v>-17.367487285200134</v>
      </c>
      <c r="P245" s="11">
        <f t="shared" si="24"/>
        <v>223.73272186381467</v>
      </c>
      <c r="Q245" s="13">
        <v>-9.31</v>
      </c>
      <c r="R245" s="11">
        <f t="shared" si="25"/>
        <v>208.94130680477363</v>
      </c>
      <c r="S245" s="13">
        <v>-13.51</v>
      </c>
      <c r="T245" s="11">
        <f t="shared" si="27"/>
        <v>228.98690827222271</v>
      </c>
      <c r="U245" s="13">
        <v>-6.09</v>
      </c>
      <c r="V245" s="11">
        <f t="shared" si="26"/>
        <v>254.54824054053415</v>
      </c>
      <c r="W245" s="10">
        <v>3.41</v>
      </c>
      <c r="X245" s="10">
        <v>2.5</v>
      </c>
      <c r="Y245" s="20">
        <v>4</v>
      </c>
    </row>
    <row r="246" spans="1:25" x14ac:dyDescent="0.3">
      <c r="A246" s="6">
        <v>43952</v>
      </c>
      <c r="B246" s="7">
        <v>5311.65</v>
      </c>
      <c r="C246" s="8">
        <v>-0.38</v>
      </c>
      <c r="D246" s="11">
        <f t="shared" si="22"/>
        <v>260.40710038608597</v>
      </c>
      <c r="E246" s="10">
        <v>-1.9</v>
      </c>
      <c r="F246" s="11">
        <f t="shared" si="23"/>
        <v>202.58196294215639</v>
      </c>
      <c r="G246" s="8">
        <v>0.05</v>
      </c>
      <c r="H246" s="8">
        <v>-0.28999999999999998</v>
      </c>
      <c r="I246" s="8">
        <v>5.6433999999999997</v>
      </c>
      <c r="J246" s="11">
        <v>29.6</v>
      </c>
      <c r="K246" s="8">
        <v>85.82</v>
      </c>
      <c r="L246" s="8">
        <v>255.8</v>
      </c>
      <c r="M246" s="8">
        <v>0.24</v>
      </c>
      <c r="N246" s="11">
        <v>2.77983</v>
      </c>
      <c r="O246" s="11">
        <f t="shared" si="21"/>
        <v>-6.450754182809745</v>
      </c>
      <c r="P246" s="11">
        <f t="shared" si="24"/>
        <v>209.30027394987056</v>
      </c>
      <c r="Q246" s="13">
        <v>-4.3499999999999996</v>
      </c>
      <c r="R246" s="11">
        <f t="shared" si="25"/>
        <v>199.85235995876599</v>
      </c>
      <c r="S246" s="13">
        <v>-5.96</v>
      </c>
      <c r="T246" s="11">
        <f t="shared" si="27"/>
        <v>215.33928853919824</v>
      </c>
      <c r="U246" s="13">
        <v>-6.44</v>
      </c>
      <c r="V246" s="11">
        <f t="shared" si="26"/>
        <v>238.15533384972375</v>
      </c>
      <c r="W246" s="8">
        <v>2.92</v>
      </c>
      <c r="X246" s="8">
        <v>2.67</v>
      </c>
      <c r="Y246" s="20">
        <v>4</v>
      </c>
    </row>
    <row r="247" spans="1:25" x14ac:dyDescent="0.3">
      <c r="A247" s="6">
        <v>43983</v>
      </c>
      <c r="B247" s="14">
        <v>5325.46</v>
      </c>
      <c r="C247" s="10">
        <v>0.26</v>
      </c>
      <c r="D247" s="11">
        <f t="shared" si="22"/>
        <v>261.08415884708978</v>
      </c>
      <c r="E247" s="8">
        <v>0.31</v>
      </c>
      <c r="F247" s="11">
        <f t="shared" si="23"/>
        <v>203.20996702727709</v>
      </c>
      <c r="G247" s="10">
        <v>0.43</v>
      </c>
      <c r="H247" s="10">
        <v>-0.22</v>
      </c>
      <c r="I247" s="10">
        <v>5.1966000000000001</v>
      </c>
      <c r="J247" s="11">
        <v>40.266818181818181</v>
      </c>
      <c r="K247" s="10">
        <v>89.63</v>
      </c>
      <c r="L247" s="10">
        <v>257.04000000000002</v>
      </c>
      <c r="M247" s="10">
        <v>0.21</v>
      </c>
      <c r="N247" s="11">
        <v>2.94537</v>
      </c>
      <c r="O247" s="11">
        <f t="shared" si="21"/>
        <v>5.6203465099461196</v>
      </c>
      <c r="P247" s="11">
        <f t="shared" si="24"/>
        <v>221.06367459211978</v>
      </c>
      <c r="Q247" s="13">
        <v>3.24</v>
      </c>
      <c r="R247" s="11">
        <f t="shared" si="25"/>
        <v>206.32757642143</v>
      </c>
      <c r="S247" s="13">
        <v>5.74</v>
      </c>
      <c r="T247" s="11">
        <f t="shared" si="27"/>
        <v>227.69976370134822</v>
      </c>
      <c r="U247" s="13">
        <v>0.04</v>
      </c>
      <c r="V247" s="11">
        <f t="shared" si="26"/>
        <v>238.25059598326362</v>
      </c>
      <c r="W247" s="10">
        <v>2.5499999999999998</v>
      </c>
      <c r="X247" s="10">
        <v>3.22</v>
      </c>
      <c r="Y247" s="20">
        <v>4</v>
      </c>
    </row>
    <row r="248" spans="1:25" x14ac:dyDescent="0.3">
      <c r="A248" s="6">
        <v>44013</v>
      </c>
      <c r="B248" s="7">
        <v>5344.63</v>
      </c>
      <c r="C248" s="8">
        <v>0.36</v>
      </c>
      <c r="D248" s="11">
        <f t="shared" si="22"/>
        <v>262.02406181893929</v>
      </c>
      <c r="E248" s="10">
        <v>0.78</v>
      </c>
      <c r="F248" s="11">
        <f t="shared" si="23"/>
        <v>204.79500477008986</v>
      </c>
      <c r="G248" s="8">
        <v>0.63</v>
      </c>
      <c r="H248" s="8">
        <v>-0.33</v>
      </c>
      <c r="I248" s="8">
        <v>5.2801999999999998</v>
      </c>
      <c r="J248" s="11">
        <v>43.24217391304348</v>
      </c>
      <c r="K248" s="8">
        <v>91.98</v>
      </c>
      <c r="L248" s="8">
        <v>258.35000000000002</v>
      </c>
      <c r="M248" s="8">
        <v>0.19</v>
      </c>
      <c r="N248" s="11">
        <v>3.0112100000000002</v>
      </c>
      <c r="O248" s="11">
        <f t="shared" si="21"/>
        <v>2.1864964582344015</v>
      </c>
      <c r="P248" s="11">
        <f t="shared" si="24"/>
        <v>225.8972240075193</v>
      </c>
      <c r="Q248" s="13">
        <v>3.42</v>
      </c>
      <c r="R248" s="11">
        <f t="shared" si="25"/>
        <v>213.3839795350429</v>
      </c>
      <c r="S248" s="13">
        <v>0.72</v>
      </c>
      <c r="T248" s="11">
        <f t="shared" si="27"/>
        <v>229.33920199999793</v>
      </c>
      <c r="U248" s="13">
        <v>4.21</v>
      </c>
      <c r="V248" s="11">
        <f t="shared" si="26"/>
        <v>248.28094607415903</v>
      </c>
      <c r="W248" s="8">
        <v>2.2999999999999998</v>
      </c>
      <c r="X248" s="8">
        <v>3.2</v>
      </c>
      <c r="Y248" s="20">
        <v>4</v>
      </c>
    </row>
    <row r="249" spans="1:25" x14ac:dyDescent="0.3">
      <c r="A249" s="6">
        <v>44044</v>
      </c>
      <c r="B249" s="14">
        <v>5357.46</v>
      </c>
      <c r="C249" s="10">
        <v>0.24</v>
      </c>
      <c r="D249" s="11">
        <f t="shared" si="22"/>
        <v>262.65291956730476</v>
      </c>
      <c r="E249" s="8">
        <v>0.82</v>
      </c>
      <c r="F249" s="11">
        <f t="shared" si="23"/>
        <v>206.47432380920461</v>
      </c>
      <c r="G249" s="10">
        <v>0.71</v>
      </c>
      <c r="H249" s="10">
        <v>-0.39</v>
      </c>
      <c r="I249" s="10">
        <v>5.4611999999999998</v>
      </c>
      <c r="J249" s="11">
        <v>44.735999999999997</v>
      </c>
      <c r="K249" s="10">
        <v>93.73</v>
      </c>
      <c r="L249" s="10">
        <v>259.32</v>
      </c>
      <c r="M249" s="10">
        <v>0.16</v>
      </c>
      <c r="N249" s="11">
        <v>3.0875300000000001</v>
      </c>
      <c r="O249" s="11">
        <f t="shared" si="21"/>
        <v>2.4718788157523957</v>
      </c>
      <c r="P249" s="11">
        <f t="shared" si="24"/>
        <v>231.48112963313389</v>
      </c>
      <c r="Q249" s="13">
        <v>3.22</v>
      </c>
      <c r="R249" s="11">
        <f t="shared" si="25"/>
        <v>220.25494367607126</v>
      </c>
      <c r="S249" s="13">
        <v>1.29</v>
      </c>
      <c r="T249" s="11">
        <f t="shared" si="27"/>
        <v>232.29767770579789</v>
      </c>
      <c r="U249" s="13">
        <v>2.4900000000000002</v>
      </c>
      <c r="V249" s="11">
        <f t="shared" si="26"/>
        <v>254.46314163140559</v>
      </c>
      <c r="W249" s="10">
        <v>1.94</v>
      </c>
      <c r="X249" s="10">
        <v>3.14</v>
      </c>
      <c r="Y249" s="20">
        <v>4</v>
      </c>
    </row>
    <row r="250" spans="1:25" x14ac:dyDescent="0.3">
      <c r="A250" s="6">
        <v>44075</v>
      </c>
      <c r="B250" s="7">
        <v>5391.75</v>
      </c>
      <c r="C250" s="8">
        <v>0.64</v>
      </c>
      <c r="D250" s="11">
        <f t="shared" si="22"/>
        <v>264.3338982525355</v>
      </c>
      <c r="E250" s="10">
        <v>0.7</v>
      </c>
      <c r="F250" s="11">
        <f t="shared" si="23"/>
        <v>207.91964407586903</v>
      </c>
      <c r="G250" s="8">
        <v>1.51</v>
      </c>
      <c r="H250" s="8">
        <v>0.33</v>
      </c>
      <c r="I250" s="8">
        <v>5.3994999999999997</v>
      </c>
      <c r="J250" s="11">
        <v>40.739600000000003</v>
      </c>
      <c r="K250" s="8">
        <v>95.66</v>
      </c>
      <c r="L250" s="8">
        <v>260</v>
      </c>
      <c r="M250" s="8">
        <v>0.16</v>
      </c>
      <c r="N250" s="11">
        <v>3.1274600000000001</v>
      </c>
      <c r="O250" s="11">
        <f t="shared" si="21"/>
        <v>1.2767549385124037</v>
      </c>
      <c r="P250" s="11">
        <f t="shared" si="24"/>
        <v>234.43657638744924</v>
      </c>
      <c r="Q250" s="13">
        <v>1.95</v>
      </c>
      <c r="R250" s="11">
        <f t="shared" si="25"/>
        <v>224.54991507775466</v>
      </c>
      <c r="S250" s="13">
        <v>2.21</v>
      </c>
      <c r="T250" s="11">
        <f t="shared" si="27"/>
        <v>237.43145638309602</v>
      </c>
      <c r="U250" s="13">
        <v>2.4700000000000002</v>
      </c>
      <c r="V250" s="11">
        <f t="shared" si="26"/>
        <v>260.74838122970129</v>
      </c>
      <c r="W250" s="8">
        <v>1.94</v>
      </c>
      <c r="X250" s="8">
        <v>3.37</v>
      </c>
      <c r="Y250" s="20">
        <v>4</v>
      </c>
    </row>
    <row r="251" spans="1:25" x14ac:dyDescent="0.3">
      <c r="A251" s="6">
        <v>44105</v>
      </c>
      <c r="B251" s="14">
        <v>5438.12</v>
      </c>
      <c r="C251" s="10">
        <v>0.86</v>
      </c>
      <c r="D251" s="11">
        <f t="shared" si="22"/>
        <v>266.60716977750729</v>
      </c>
      <c r="E251" s="8">
        <v>1.19</v>
      </c>
      <c r="F251" s="11">
        <f t="shared" si="23"/>
        <v>210.39388784037186</v>
      </c>
      <c r="G251" s="10">
        <v>1.71</v>
      </c>
      <c r="H251" s="10">
        <v>0.63</v>
      </c>
      <c r="I251" s="10">
        <v>5.6257999999999999</v>
      </c>
      <c r="J251" s="11">
        <v>40.18954545454546</v>
      </c>
      <c r="K251" s="10">
        <v>97.49</v>
      </c>
      <c r="L251" s="10">
        <v>260.32</v>
      </c>
      <c r="M251" s="10">
        <v>0.16</v>
      </c>
      <c r="N251" s="11">
        <v>3.2065999999999999</v>
      </c>
      <c r="O251" s="11">
        <f t="shared" si="21"/>
        <v>2.4680346784756368</v>
      </c>
      <c r="P251" s="11">
        <f t="shared" si="24"/>
        <v>240.2225523917225</v>
      </c>
      <c r="Q251" s="13">
        <v>0.85</v>
      </c>
      <c r="R251" s="11">
        <f t="shared" si="25"/>
        <v>226.45858935591556</v>
      </c>
      <c r="S251" s="13">
        <v>1.91</v>
      </c>
      <c r="T251" s="11">
        <f t="shared" si="27"/>
        <v>241.96639720001315</v>
      </c>
      <c r="U251" s="13">
        <v>-0.44</v>
      </c>
      <c r="V251" s="11">
        <f t="shared" si="26"/>
        <v>259.60108835229062</v>
      </c>
      <c r="W251" s="10">
        <v>1.94</v>
      </c>
      <c r="X251" s="10">
        <v>3.92</v>
      </c>
      <c r="Y251" s="20">
        <v>4</v>
      </c>
    </row>
    <row r="252" spans="1:25" x14ac:dyDescent="0.3">
      <c r="A252" s="6">
        <v>44136</v>
      </c>
      <c r="B252" s="7">
        <v>5486.52</v>
      </c>
      <c r="C252" s="8">
        <v>0.89</v>
      </c>
      <c r="D252" s="11">
        <f t="shared" si="22"/>
        <v>268.97997358852712</v>
      </c>
      <c r="E252" s="10">
        <v>1.33</v>
      </c>
      <c r="F252" s="11">
        <f t="shared" si="23"/>
        <v>213.19212654864882</v>
      </c>
      <c r="G252" s="8">
        <v>1.61</v>
      </c>
      <c r="H252" s="8">
        <v>0.67</v>
      </c>
      <c r="I252" s="8">
        <v>5.4177999999999997</v>
      </c>
      <c r="J252" s="11">
        <v>42.692380952380951</v>
      </c>
      <c r="K252" s="8">
        <v>97.52</v>
      </c>
      <c r="L252" s="8">
        <v>260.91000000000003</v>
      </c>
      <c r="M252" s="8">
        <v>0.15</v>
      </c>
      <c r="N252" s="11">
        <v>3.3172000000000001</v>
      </c>
      <c r="O252" s="11">
        <f t="shared" si="21"/>
        <v>3.3341372241649658</v>
      </c>
      <c r="P252" s="11">
        <f t="shared" si="24"/>
        <v>248.23190193185411</v>
      </c>
      <c r="Q252" s="13">
        <v>1.64</v>
      </c>
      <c r="R252" s="11">
        <f t="shared" si="25"/>
        <v>230.17251022135258</v>
      </c>
      <c r="S252" s="13">
        <v>9.23</v>
      </c>
      <c r="T252" s="11">
        <f t="shared" si="27"/>
        <v>264.29989566157434</v>
      </c>
      <c r="U252" s="13">
        <v>1.57</v>
      </c>
      <c r="V252" s="11">
        <f t="shared" si="26"/>
        <v>263.67682543942158</v>
      </c>
      <c r="W252" s="8">
        <v>1.81</v>
      </c>
      <c r="X252" s="8">
        <v>4.1100000000000003</v>
      </c>
      <c r="Y252" s="20">
        <v>4</v>
      </c>
    </row>
    <row r="253" spans="1:25" x14ac:dyDescent="0.3">
      <c r="A253" s="6">
        <v>44166</v>
      </c>
      <c r="B253" s="14">
        <v>5560.59</v>
      </c>
      <c r="C253" s="10">
        <v>1.35</v>
      </c>
      <c r="D253" s="11">
        <f t="shared" si="22"/>
        <v>272.61120323197224</v>
      </c>
      <c r="E253" s="8">
        <v>1.36</v>
      </c>
      <c r="F253" s="11">
        <f t="shared" si="23"/>
        <v>216.09153946971043</v>
      </c>
      <c r="G253" s="10">
        <v>1.58</v>
      </c>
      <c r="H253" s="10">
        <v>0.78</v>
      </c>
      <c r="I253" s="10">
        <v>5.1456</v>
      </c>
      <c r="J253" s="11">
        <v>49.845263157894742</v>
      </c>
      <c r="K253" s="10">
        <v>97.68</v>
      </c>
      <c r="L253" s="10">
        <v>262.05</v>
      </c>
      <c r="M253" s="10">
        <v>0.16</v>
      </c>
      <c r="N253" s="11">
        <v>3.4120599999999999</v>
      </c>
      <c r="O253" s="11">
        <f t="shared" si="21"/>
        <v>2.7801386845483291</v>
      </c>
      <c r="P253" s="11">
        <f t="shared" si="24"/>
        <v>255.13309306485166</v>
      </c>
      <c r="Q253" s="13">
        <v>1.54</v>
      </c>
      <c r="R253" s="11">
        <f t="shared" si="25"/>
        <v>233.71716687876142</v>
      </c>
      <c r="S253" s="13">
        <v>1.32</v>
      </c>
      <c r="T253" s="11">
        <f t="shared" si="27"/>
        <v>267.78865428430714</v>
      </c>
      <c r="U253" s="13">
        <v>2.08</v>
      </c>
      <c r="V253" s="11">
        <f t="shared" si="26"/>
        <v>269.16130340856154</v>
      </c>
      <c r="W253" s="10">
        <v>1.94</v>
      </c>
      <c r="X253" s="10">
        <v>4.0999999999999996</v>
      </c>
      <c r="Y253" s="20">
        <v>4</v>
      </c>
    </row>
    <row r="254" spans="1:25" x14ac:dyDescent="0.3">
      <c r="A254" s="6">
        <v>44197</v>
      </c>
      <c r="B254" s="7">
        <v>5574.49</v>
      </c>
      <c r="C254" s="8">
        <v>0.25</v>
      </c>
      <c r="D254" s="11">
        <f t="shared" si="22"/>
        <v>273.29273124005215</v>
      </c>
      <c r="E254" s="10">
        <v>0.41</v>
      </c>
      <c r="F254" s="11">
        <f t="shared" si="23"/>
        <v>216.97751478153623</v>
      </c>
      <c r="G254" s="8">
        <v>0.63</v>
      </c>
      <c r="H254" s="8">
        <v>0.3</v>
      </c>
      <c r="I254" s="8">
        <v>5.3562000000000003</v>
      </c>
      <c r="J254" s="11">
        <v>54.774000000000001</v>
      </c>
      <c r="K254" s="8">
        <v>97.94</v>
      </c>
      <c r="L254" s="8">
        <v>262.64</v>
      </c>
      <c r="M254" s="8">
        <v>0.15</v>
      </c>
      <c r="N254" s="11">
        <v>3.552</v>
      </c>
      <c r="O254" s="11">
        <f t="shared" si="21"/>
        <v>3.9397522522522572</v>
      </c>
      <c r="P254" s="11">
        <f t="shared" si="24"/>
        <v>265.18470484511499</v>
      </c>
      <c r="Q254" s="13">
        <v>2.17</v>
      </c>
      <c r="R254" s="11">
        <f t="shared" si="25"/>
        <v>238.78882940003055</v>
      </c>
      <c r="S254" s="13">
        <v>1.73</v>
      </c>
      <c r="T254" s="11">
        <f t="shared" si="27"/>
        <v>272.42139800342568</v>
      </c>
      <c r="U254" s="13">
        <v>2.6</v>
      </c>
      <c r="V254" s="11">
        <f t="shared" si="26"/>
        <v>276.15949729718415</v>
      </c>
      <c r="W254" s="8">
        <v>1.81</v>
      </c>
      <c r="X254" s="8">
        <v>3.57</v>
      </c>
      <c r="Y254" s="22">
        <v>3.75</v>
      </c>
    </row>
    <row r="255" spans="1:25" x14ac:dyDescent="0.3">
      <c r="A255" s="6">
        <v>44228</v>
      </c>
      <c r="B255" s="14">
        <v>5622.43</v>
      </c>
      <c r="C255" s="10">
        <v>0.86</v>
      </c>
      <c r="D255" s="11">
        <f t="shared" si="22"/>
        <v>275.64304872871662</v>
      </c>
      <c r="E255" s="8">
        <v>2.2799999999999998</v>
      </c>
      <c r="F255" s="11">
        <f t="shared" si="23"/>
        <v>221.92460211855524</v>
      </c>
      <c r="G255" s="10">
        <v>0.73</v>
      </c>
      <c r="H255" s="10">
        <v>0.45</v>
      </c>
      <c r="I255" s="10">
        <v>5.4165000000000001</v>
      </c>
      <c r="J255" s="11">
        <v>62.276499999999999</v>
      </c>
      <c r="K255" s="10">
        <v>98.87</v>
      </c>
      <c r="L255" s="10">
        <v>263.57</v>
      </c>
      <c r="M255" s="10">
        <v>0.13</v>
      </c>
      <c r="N255" s="11">
        <v>3.8403399999999999</v>
      </c>
      <c r="O255" s="11">
        <f t="shared" si="21"/>
        <v>7.5081893790653913</v>
      </c>
      <c r="P255" s="11">
        <f t="shared" si="24"/>
        <v>285.0952746892018</v>
      </c>
      <c r="Q255" s="13">
        <v>7.11</v>
      </c>
      <c r="R255" s="11">
        <f t="shared" si="25"/>
        <v>255.76671517037272</v>
      </c>
      <c r="S255" s="13">
        <v>8.06</v>
      </c>
      <c r="T255" s="11">
        <f t="shared" si="27"/>
        <v>294.37856268250181</v>
      </c>
      <c r="U255" s="13">
        <v>5.4</v>
      </c>
      <c r="V255" s="11">
        <f t="shared" si="26"/>
        <v>291.0721101512321</v>
      </c>
      <c r="W255" s="10">
        <v>1.57</v>
      </c>
      <c r="X255" s="10">
        <v>3.99</v>
      </c>
      <c r="Y255" s="22">
        <v>3.75</v>
      </c>
    </row>
    <row r="256" spans="1:25" x14ac:dyDescent="0.3">
      <c r="A256" s="6">
        <v>44256</v>
      </c>
      <c r="B256" s="7">
        <v>5674.72</v>
      </c>
      <c r="C256" s="8">
        <v>0.93</v>
      </c>
      <c r="D256" s="11">
        <f t="shared" si="22"/>
        <v>278.20652908189368</v>
      </c>
      <c r="E256" s="10">
        <v>3.81</v>
      </c>
      <c r="F256" s="11">
        <f t="shared" si="23"/>
        <v>230.3799294592722</v>
      </c>
      <c r="G256" s="8">
        <v>0.59</v>
      </c>
      <c r="H256" s="8">
        <v>0.05</v>
      </c>
      <c r="I256" s="8">
        <v>5.6460999999999997</v>
      </c>
      <c r="J256" s="11">
        <v>65.41</v>
      </c>
      <c r="K256" s="8">
        <v>95.31</v>
      </c>
      <c r="L256" s="8">
        <v>264.85000000000002</v>
      </c>
      <c r="M256" s="8">
        <v>0.2</v>
      </c>
      <c r="N256" s="11">
        <v>4.2648000000000001</v>
      </c>
      <c r="O256" s="11">
        <f t="shared" si="21"/>
        <v>9.9526355280435261</v>
      </c>
      <c r="P256" s="11">
        <f t="shared" si="24"/>
        <v>313.46976828669256</v>
      </c>
      <c r="Q256" s="13">
        <v>11.26</v>
      </c>
      <c r="R256" s="11">
        <f t="shared" si="25"/>
        <v>284.56604729855667</v>
      </c>
      <c r="S256" s="13">
        <v>12.59</v>
      </c>
      <c r="T256" s="11">
        <f t="shared" si="27"/>
        <v>331.44082372422878</v>
      </c>
      <c r="U256" s="13">
        <v>9.0500000000000007</v>
      </c>
      <c r="V256" s="11">
        <f t="shared" si="26"/>
        <v>317.41413611991862</v>
      </c>
      <c r="W256" s="8">
        <v>2.4300000000000002</v>
      </c>
      <c r="X256" s="8">
        <v>4.5</v>
      </c>
      <c r="Y256" s="22">
        <v>3.75</v>
      </c>
    </row>
    <row r="257" spans="1:25" x14ac:dyDescent="0.3">
      <c r="A257" s="6">
        <v>44287</v>
      </c>
      <c r="B257" s="14">
        <v>5692.31</v>
      </c>
      <c r="C257" s="10">
        <v>0.31</v>
      </c>
      <c r="D257" s="11">
        <f t="shared" si="22"/>
        <v>279.06896932204756</v>
      </c>
      <c r="E257" s="8">
        <v>-0.08</v>
      </c>
      <c r="F257" s="11">
        <f t="shared" si="23"/>
        <v>230.19562551570479</v>
      </c>
      <c r="G257" s="10">
        <v>0.47</v>
      </c>
      <c r="H257" s="10">
        <v>0.14000000000000001</v>
      </c>
      <c r="I257" s="10">
        <v>5.5621</v>
      </c>
      <c r="J257" s="11">
        <v>64.760952380952375</v>
      </c>
      <c r="K257" s="10">
        <v>96.45</v>
      </c>
      <c r="L257" s="10">
        <v>266.63</v>
      </c>
      <c r="M257" s="10">
        <v>0.21</v>
      </c>
      <c r="N257" s="11">
        <v>4.3324800000000003</v>
      </c>
      <c r="O257" s="11">
        <f t="shared" si="21"/>
        <v>1.5621537779747439</v>
      </c>
      <c r="P257" s="11">
        <f t="shared" si="24"/>
        <v>318.36664811479181</v>
      </c>
      <c r="Q257" s="13">
        <v>-0.44</v>
      </c>
      <c r="R257" s="11">
        <f t="shared" si="25"/>
        <v>283.31395669044304</v>
      </c>
      <c r="S257" s="13">
        <v>-4.93</v>
      </c>
      <c r="T257" s="11">
        <f t="shared" si="27"/>
        <v>315.10079111462431</v>
      </c>
      <c r="U257" s="13">
        <v>-0.11</v>
      </c>
      <c r="V257" s="11">
        <f t="shared" si="26"/>
        <v>317.06498057018672</v>
      </c>
      <c r="W257" s="10">
        <v>2.5499999999999998</v>
      </c>
      <c r="X257" s="10">
        <v>4.0999999999999996</v>
      </c>
      <c r="Y257" s="22">
        <v>3.75</v>
      </c>
    </row>
    <row r="258" spans="1:25" x14ac:dyDescent="0.3">
      <c r="A258" s="6">
        <v>44317</v>
      </c>
      <c r="B258" s="7">
        <v>5739.56</v>
      </c>
      <c r="C258" s="8">
        <v>0.83</v>
      </c>
      <c r="D258" s="11">
        <f t="shared" si="22"/>
        <v>281.38524176742055</v>
      </c>
      <c r="E258" s="10">
        <v>1.1499999999999999</v>
      </c>
      <c r="F258" s="11">
        <f t="shared" si="23"/>
        <v>232.8428752091354</v>
      </c>
      <c r="G258" s="8">
        <v>0.98</v>
      </c>
      <c r="H258" s="8">
        <v>-7.0000000000000007E-2</v>
      </c>
      <c r="I258" s="8">
        <v>5.2911000000000001</v>
      </c>
      <c r="J258" s="11">
        <v>68.513333333333335</v>
      </c>
      <c r="K258" s="8">
        <v>97.28</v>
      </c>
      <c r="L258" s="8">
        <v>268.39999999999998</v>
      </c>
      <c r="M258" s="8">
        <v>0.27</v>
      </c>
      <c r="N258" s="11">
        <v>4.3875200000000003</v>
      </c>
      <c r="O258" s="11">
        <f t="shared" si="21"/>
        <v>1.2544672161038577</v>
      </c>
      <c r="P258" s="11">
        <f t="shared" si="24"/>
        <v>322.3604533424006</v>
      </c>
      <c r="Q258" s="13">
        <v>2.87</v>
      </c>
      <c r="R258" s="11">
        <f t="shared" si="25"/>
        <v>291.44506724745872</v>
      </c>
      <c r="S258" s="13">
        <v>12.92</v>
      </c>
      <c r="T258" s="11">
        <f t="shared" si="27"/>
        <v>355.8118133266338</v>
      </c>
      <c r="U258" s="13">
        <v>4.6100000000000003</v>
      </c>
      <c r="V258" s="11">
        <f t="shared" si="26"/>
        <v>331.68167617447233</v>
      </c>
      <c r="W258" s="8">
        <v>3.29</v>
      </c>
      <c r="X258" s="8">
        <v>4.45</v>
      </c>
      <c r="Y258" s="22">
        <v>3.75</v>
      </c>
    </row>
    <row r="259" spans="1:25" x14ac:dyDescent="0.3">
      <c r="A259" s="6">
        <v>44348</v>
      </c>
      <c r="B259" s="14">
        <v>5769.98</v>
      </c>
      <c r="C259" s="10">
        <v>0.53</v>
      </c>
      <c r="D259" s="11">
        <f t="shared" si="22"/>
        <v>282.87658354878789</v>
      </c>
      <c r="E259" s="8">
        <v>0.41</v>
      </c>
      <c r="F259" s="11">
        <f t="shared" si="23"/>
        <v>233.79753099749286</v>
      </c>
      <c r="G259" s="10">
        <v>0.8</v>
      </c>
      <c r="H259" s="10">
        <v>0.16</v>
      </c>
      <c r="I259" s="10">
        <v>5.0319000000000003</v>
      </c>
      <c r="J259" s="11">
        <v>73.164090909090902</v>
      </c>
      <c r="K259" s="10">
        <v>96.83</v>
      </c>
      <c r="L259" s="10">
        <v>270.70999999999998</v>
      </c>
      <c r="M259" s="10">
        <v>0.31</v>
      </c>
      <c r="N259" s="11">
        <v>4.4314099999999996</v>
      </c>
      <c r="O259" s="11">
        <f t="shared" si="21"/>
        <v>0.99042968265178177</v>
      </c>
      <c r="P259" s="11">
        <f t="shared" si="24"/>
        <v>325.55320695743461</v>
      </c>
      <c r="Q259" s="13">
        <v>0.69</v>
      </c>
      <c r="R259" s="11">
        <f t="shared" si="25"/>
        <v>293.45603821146619</v>
      </c>
      <c r="S259" s="13">
        <v>2.14</v>
      </c>
      <c r="T259" s="11">
        <f t="shared" si="27"/>
        <v>363.42618613182378</v>
      </c>
      <c r="U259" s="13">
        <v>1.1000000000000001</v>
      </c>
      <c r="V259" s="11">
        <f t="shared" si="26"/>
        <v>335.33017461239154</v>
      </c>
      <c r="W259" s="10">
        <v>3.78</v>
      </c>
      <c r="X259" s="10">
        <v>4.47</v>
      </c>
      <c r="Y259" s="22">
        <v>3.75</v>
      </c>
    </row>
    <row r="260" spans="1:25" x14ac:dyDescent="0.3">
      <c r="A260" s="6">
        <v>44378</v>
      </c>
      <c r="B260" s="7">
        <v>5825.37</v>
      </c>
      <c r="C260" s="8">
        <v>0.96</v>
      </c>
      <c r="D260" s="11">
        <f t="shared" si="22"/>
        <v>285.59219875085626</v>
      </c>
      <c r="E260" s="10">
        <v>1.52</v>
      </c>
      <c r="F260" s="11">
        <f t="shared" si="23"/>
        <v>237.35125346865476</v>
      </c>
      <c r="G260" s="8">
        <v>0.56000000000000005</v>
      </c>
      <c r="H260" s="8">
        <v>0.8</v>
      </c>
      <c r="I260" s="8">
        <v>5.1566999999999998</v>
      </c>
      <c r="J260" s="11">
        <v>75.165909090909096</v>
      </c>
      <c r="K260" s="8">
        <v>96.49</v>
      </c>
      <c r="L260" s="8">
        <v>271.97000000000003</v>
      </c>
      <c r="M260" s="8">
        <v>0.36</v>
      </c>
      <c r="N260" s="11">
        <v>4.4633099999999999</v>
      </c>
      <c r="O260" s="11">
        <f t="shared" si="21"/>
        <v>0.71471620837450822</v>
      </c>
      <c r="P260" s="11">
        <f t="shared" si="24"/>
        <v>327.87998849444239</v>
      </c>
      <c r="Q260" s="13">
        <v>1.55</v>
      </c>
      <c r="R260" s="11">
        <f t="shared" si="25"/>
        <v>298.00460680374391</v>
      </c>
      <c r="S260" s="13">
        <v>-0.75</v>
      </c>
      <c r="T260" s="11">
        <f t="shared" si="27"/>
        <v>360.70048973583511</v>
      </c>
      <c r="U260" s="13">
        <v>0.96</v>
      </c>
      <c r="V260" s="11">
        <f t="shared" si="26"/>
        <v>338.54934428867051</v>
      </c>
      <c r="W260" s="8">
        <v>4.41</v>
      </c>
      <c r="X260" s="8">
        <v>4.8899999999999997</v>
      </c>
      <c r="Y260" s="22">
        <v>3.75</v>
      </c>
    </row>
    <row r="261" spans="1:25" x14ac:dyDescent="0.3">
      <c r="A261" s="6">
        <v>44409</v>
      </c>
      <c r="B261" s="14">
        <v>5876.05</v>
      </c>
      <c r="C261" s="10">
        <v>0.87</v>
      </c>
      <c r="D261" s="11">
        <f t="shared" si="22"/>
        <v>288.07685087998868</v>
      </c>
      <c r="E261" s="8">
        <v>1.46</v>
      </c>
      <c r="F261" s="11">
        <f t="shared" si="23"/>
        <v>240.81658176929713</v>
      </c>
      <c r="G261" s="10">
        <v>1.08</v>
      </c>
      <c r="H261" s="10">
        <v>0.67</v>
      </c>
      <c r="I261" s="10">
        <v>5.2516999999999996</v>
      </c>
      <c r="J261" s="11">
        <v>70.747142857142862</v>
      </c>
      <c r="K261" s="10">
        <v>97.09</v>
      </c>
      <c r="L261" s="10">
        <v>272.75</v>
      </c>
      <c r="M261" s="10">
        <v>0.43</v>
      </c>
      <c r="N261" s="11">
        <v>4.4293399999999998</v>
      </c>
      <c r="O261" s="11">
        <f t="shared" si="21"/>
        <v>-0.76693141641870022</v>
      </c>
      <c r="P261" s="11">
        <f t="shared" si="24"/>
        <v>325.36537385452851</v>
      </c>
      <c r="Q261" s="13">
        <v>2.8</v>
      </c>
      <c r="R261" s="11">
        <f t="shared" si="25"/>
        <v>306.34873579424874</v>
      </c>
      <c r="S261" s="13">
        <v>4.5</v>
      </c>
      <c r="T261" s="11">
        <f t="shared" si="27"/>
        <v>376.93201177394769</v>
      </c>
      <c r="U261" s="13">
        <v>1.79</v>
      </c>
      <c r="V261" s="11">
        <f t="shared" si="26"/>
        <v>344.60937755143772</v>
      </c>
      <c r="W261" s="10">
        <v>5.28</v>
      </c>
      <c r="X261" s="10">
        <v>4.82</v>
      </c>
      <c r="Y261" s="22">
        <v>3.75</v>
      </c>
    </row>
    <row r="262" spans="1:25" x14ac:dyDescent="0.3">
      <c r="A262" s="6">
        <v>44440</v>
      </c>
      <c r="B262" s="7">
        <v>5944.21</v>
      </c>
      <c r="C262" s="8">
        <v>1.1599999999999999</v>
      </c>
      <c r="D262" s="11">
        <f t="shared" si="22"/>
        <v>291.41854235019656</v>
      </c>
      <c r="E262" s="10">
        <v>1.82</v>
      </c>
      <c r="F262" s="11">
        <f t="shared" si="23"/>
        <v>245.19944355749834</v>
      </c>
      <c r="G262" s="8">
        <v>1.1000000000000001</v>
      </c>
      <c r="H262" s="8">
        <v>0.71</v>
      </c>
      <c r="I262" s="8">
        <v>5.2797000000000001</v>
      </c>
      <c r="J262" s="11">
        <v>74.48863636363636</v>
      </c>
      <c r="K262" s="8">
        <v>96.99</v>
      </c>
      <c r="L262" s="8">
        <v>273.94</v>
      </c>
      <c r="M262" s="8">
        <v>0.44</v>
      </c>
      <c r="N262" s="11">
        <v>4.3080699999999998</v>
      </c>
      <c r="O262" s="11">
        <f t="shared" si="21"/>
        <v>-2.8149496178102957</v>
      </c>
      <c r="P262" s="11">
        <f t="shared" si="24"/>
        <v>316.20650250672344</v>
      </c>
      <c r="Q262" s="13">
        <v>2.3199999999999998</v>
      </c>
      <c r="R262" s="11">
        <f t="shared" si="25"/>
        <v>313.45602646467529</v>
      </c>
      <c r="S262" s="13">
        <v>3.79</v>
      </c>
      <c r="T262" s="11">
        <f t="shared" si="27"/>
        <v>391.21773502018033</v>
      </c>
      <c r="U262" s="13">
        <v>0.67</v>
      </c>
      <c r="V262" s="11">
        <f t="shared" si="26"/>
        <v>346.91826038103233</v>
      </c>
      <c r="W262" s="8">
        <v>5.41</v>
      </c>
      <c r="X262" s="8">
        <v>5.35</v>
      </c>
      <c r="Y262" s="22">
        <v>3.75</v>
      </c>
    </row>
    <row r="263" spans="1:25" x14ac:dyDescent="0.3">
      <c r="A263" s="6">
        <v>44470</v>
      </c>
      <c r="B263" s="14">
        <v>6018.51</v>
      </c>
      <c r="C263" s="10">
        <v>1.25</v>
      </c>
      <c r="D263" s="11">
        <f t="shared" si="22"/>
        <v>295.06127412957403</v>
      </c>
      <c r="E263" s="8">
        <v>2.62</v>
      </c>
      <c r="F263" s="11">
        <f t="shared" si="23"/>
        <v>251.62366897870479</v>
      </c>
      <c r="G263" s="10">
        <v>1.22</v>
      </c>
      <c r="H263" s="10">
        <v>1.21</v>
      </c>
      <c r="I263" s="10">
        <v>5.54</v>
      </c>
      <c r="J263" s="11">
        <v>83.538095238095238</v>
      </c>
      <c r="K263" s="10">
        <v>97.44</v>
      </c>
      <c r="L263" s="10">
        <v>276.52999999999997</v>
      </c>
      <c r="M263" s="10">
        <v>0.49</v>
      </c>
      <c r="N263" s="11">
        <v>4.4994699999999996</v>
      </c>
      <c r="O263" s="11">
        <f t="shared" si="21"/>
        <v>4.2538343404889867</v>
      </c>
      <c r="P263" s="11">
        <f t="shared" si="24"/>
        <v>329.65740329721359</v>
      </c>
      <c r="Q263" s="13">
        <v>3.1</v>
      </c>
      <c r="R263" s="11">
        <f t="shared" si="25"/>
        <v>323.17316328508025</v>
      </c>
      <c r="S263" s="13">
        <v>3.54</v>
      </c>
      <c r="T263" s="11">
        <f t="shared" si="27"/>
        <v>405.06684283989472</v>
      </c>
      <c r="U263" s="13">
        <v>5.77</v>
      </c>
      <c r="V263" s="11">
        <f t="shared" si="26"/>
        <v>366.93544400501787</v>
      </c>
      <c r="W263" s="10">
        <v>6.04</v>
      </c>
      <c r="X263" s="10">
        <v>5.51</v>
      </c>
      <c r="Y263" s="22">
        <v>3.75</v>
      </c>
    </row>
    <row r="264" spans="1:25" x14ac:dyDescent="0.3">
      <c r="A264" s="6">
        <v>44501</v>
      </c>
      <c r="B264" s="7">
        <v>6075.69</v>
      </c>
      <c r="C264" s="8">
        <v>0.95</v>
      </c>
      <c r="D264" s="11">
        <f t="shared" si="22"/>
        <v>297.86435623380498</v>
      </c>
      <c r="E264" s="10">
        <v>3.35</v>
      </c>
      <c r="F264" s="11">
        <f t="shared" si="23"/>
        <v>260.0530618894914</v>
      </c>
      <c r="G264" s="8">
        <v>0.57999999999999996</v>
      </c>
      <c r="H264" s="8">
        <v>0.34</v>
      </c>
      <c r="I264" s="8">
        <v>5.5568999999999997</v>
      </c>
      <c r="J264" s="11">
        <v>81.05</v>
      </c>
      <c r="K264" s="8">
        <v>98.97</v>
      </c>
      <c r="L264" s="8">
        <v>278.82</v>
      </c>
      <c r="M264" s="8">
        <v>0.59</v>
      </c>
      <c r="N264" s="11">
        <v>4.7500799999999996</v>
      </c>
      <c r="O264" s="11">
        <f t="shared" si="21"/>
        <v>5.2759111425491785</v>
      </c>
      <c r="P264" s="11">
        <f t="shared" si="24"/>
        <v>347.04983497000956</v>
      </c>
      <c r="Q264" s="13">
        <v>7.38</v>
      </c>
      <c r="R264" s="11">
        <f t="shared" si="25"/>
        <v>347.02334273551918</v>
      </c>
      <c r="S264" s="13">
        <v>10.53</v>
      </c>
      <c r="T264" s="11">
        <f t="shared" si="27"/>
        <v>447.72038139093564</v>
      </c>
      <c r="U264" s="13">
        <v>7.48</v>
      </c>
      <c r="V264" s="11">
        <f t="shared" si="26"/>
        <v>394.38221521659318</v>
      </c>
      <c r="W264" s="8">
        <v>7.31</v>
      </c>
      <c r="X264" s="8">
        <v>5.89</v>
      </c>
      <c r="Y264" s="22">
        <v>3.75</v>
      </c>
    </row>
    <row r="265" spans="1:25" x14ac:dyDescent="0.3">
      <c r="A265" s="6">
        <v>44531</v>
      </c>
      <c r="B265" s="14">
        <v>6120.04</v>
      </c>
      <c r="C265" s="10">
        <v>0.73</v>
      </c>
      <c r="D265" s="11">
        <f t="shared" si="22"/>
        <v>300.03876603431178</v>
      </c>
      <c r="E265" s="8">
        <v>0.57999999999999996</v>
      </c>
      <c r="F265" s="11">
        <f t="shared" si="23"/>
        <v>261.56136964845047</v>
      </c>
      <c r="G265" s="10">
        <v>1.58</v>
      </c>
      <c r="H265" s="10">
        <v>0.54</v>
      </c>
      <c r="I265" s="10">
        <v>5.6513999999999998</v>
      </c>
      <c r="J265" s="11">
        <v>74.219090909090909</v>
      </c>
      <c r="K265" s="10">
        <v>99.12</v>
      </c>
      <c r="L265" s="10">
        <v>280.81</v>
      </c>
      <c r="M265" s="10">
        <v>0.77</v>
      </c>
      <c r="N265" s="11">
        <v>4.8127300000000002</v>
      </c>
      <c r="O265" s="11">
        <f t="shared" si="21"/>
        <v>1.3017559680264743</v>
      </c>
      <c r="P265" s="11">
        <f t="shared" si="24"/>
        <v>351.5675769087577</v>
      </c>
      <c r="Q265" s="13">
        <v>-0.67</v>
      </c>
      <c r="R265" s="11">
        <f t="shared" si="25"/>
        <v>344.69828633919121</v>
      </c>
      <c r="S265" s="13">
        <v>-2.96</v>
      </c>
      <c r="T265" s="11">
        <f t="shared" si="27"/>
        <v>434.46785810176397</v>
      </c>
      <c r="U265" s="13">
        <v>-0.33</v>
      </c>
      <c r="V265" s="11">
        <f t="shared" si="26"/>
        <v>393.08075390637845</v>
      </c>
      <c r="W265" s="10">
        <v>9.64</v>
      </c>
      <c r="X265" s="10">
        <v>5.23</v>
      </c>
      <c r="Y265" s="22">
        <v>3.75</v>
      </c>
    </row>
    <row r="266" spans="1:25" x14ac:dyDescent="0.3">
      <c r="A266" s="6">
        <v>44562</v>
      </c>
      <c r="B266" s="7">
        <v>6153.09</v>
      </c>
      <c r="C266" s="8">
        <v>0.54</v>
      </c>
      <c r="D266" s="11">
        <f t="shared" si="22"/>
        <v>301.65897537089705</v>
      </c>
      <c r="E266" s="10">
        <v>-0.11</v>
      </c>
      <c r="F266" s="11">
        <f t="shared" si="23"/>
        <v>261.27365214183715</v>
      </c>
      <c r="G266" s="8">
        <v>1.1499999999999999</v>
      </c>
      <c r="H266" s="8">
        <v>0.66</v>
      </c>
      <c r="I266" s="8">
        <v>5.5340999999999996</v>
      </c>
      <c r="J266" s="11">
        <v>86.505238095238084</v>
      </c>
      <c r="K266" s="8">
        <v>97.58</v>
      </c>
      <c r="L266" s="8">
        <v>282.54000000000002</v>
      </c>
      <c r="M266" s="8">
        <v>0.73</v>
      </c>
      <c r="N266" s="11">
        <v>4.8410599999999997</v>
      </c>
      <c r="O266" s="11">
        <f t="shared" si="21"/>
        <v>0.58520241434726117</v>
      </c>
      <c r="P266" s="11">
        <f t="shared" si="24"/>
        <v>353.62495885688992</v>
      </c>
      <c r="Q266" s="13">
        <v>-1.1399999999999999</v>
      </c>
      <c r="R266" s="11">
        <f t="shared" si="25"/>
        <v>340.76872587492443</v>
      </c>
      <c r="S266" s="13">
        <v>-2.84</v>
      </c>
      <c r="T266" s="11">
        <f t="shared" si="27"/>
        <v>422.12897093167385</v>
      </c>
      <c r="U266" s="13">
        <v>2.38</v>
      </c>
      <c r="V266" s="11">
        <f t="shared" si="26"/>
        <v>402.43607584935023</v>
      </c>
      <c r="W266" s="8">
        <v>9.1199999999999992</v>
      </c>
      <c r="X266" s="8">
        <v>5.4</v>
      </c>
      <c r="Y266" s="20">
        <v>3.5</v>
      </c>
    </row>
    <row r="267" spans="1:25" x14ac:dyDescent="0.3">
      <c r="A267" s="6">
        <v>44593</v>
      </c>
      <c r="B267" s="14">
        <v>6215.24</v>
      </c>
      <c r="C267" s="10">
        <v>1.01</v>
      </c>
      <c r="D267" s="11">
        <f t="shared" si="22"/>
        <v>304.70573102214314</v>
      </c>
      <c r="E267" s="8">
        <v>0.46</v>
      </c>
      <c r="F267" s="11">
        <f t="shared" si="23"/>
        <v>262.47551094168961</v>
      </c>
      <c r="G267" s="10">
        <v>0.95</v>
      </c>
      <c r="H267" s="10">
        <v>1.64</v>
      </c>
      <c r="I267" s="10">
        <v>5.1966000000000001</v>
      </c>
      <c r="J267" s="11">
        <v>97.128999999999991</v>
      </c>
      <c r="K267" s="10">
        <v>98.59</v>
      </c>
      <c r="L267" s="10">
        <v>284.52999999999997</v>
      </c>
      <c r="M267" s="10">
        <v>0.76</v>
      </c>
      <c r="N267" s="11">
        <v>4.9795600000000002</v>
      </c>
      <c r="O267" s="11">
        <f t="shared" si="21"/>
        <v>2.7813702415474562</v>
      </c>
      <c r="P267" s="11">
        <f t="shared" si="24"/>
        <v>363.46057822921989</v>
      </c>
      <c r="Q267" s="13">
        <v>-0.47</v>
      </c>
      <c r="R267" s="11">
        <f t="shared" si="25"/>
        <v>339.1671128633123</v>
      </c>
      <c r="S267" s="13">
        <v>-5.04</v>
      </c>
      <c r="T267" s="11">
        <f t="shared" si="27"/>
        <v>400.85367079671749</v>
      </c>
      <c r="U267" s="13">
        <v>1.65</v>
      </c>
      <c r="V267" s="11">
        <f t="shared" si="26"/>
        <v>409.07627110086452</v>
      </c>
      <c r="W267" s="10">
        <v>9.51</v>
      </c>
      <c r="X267" s="10">
        <v>5.46</v>
      </c>
      <c r="Y267" s="20">
        <v>3.5</v>
      </c>
    </row>
    <row r="268" spans="1:25" x14ac:dyDescent="0.3">
      <c r="A268" s="6">
        <v>44621</v>
      </c>
      <c r="B268" s="7">
        <v>6315.93</v>
      </c>
      <c r="C268" s="8">
        <v>1.62</v>
      </c>
      <c r="D268" s="11">
        <f t="shared" si="22"/>
        <v>309.64196386470184</v>
      </c>
      <c r="E268" s="10">
        <v>3.02</v>
      </c>
      <c r="F268" s="11">
        <f t="shared" si="23"/>
        <v>270.40227137212861</v>
      </c>
      <c r="G268" s="8">
        <v>1.4</v>
      </c>
      <c r="H268" s="8">
        <v>1.1200000000000001</v>
      </c>
      <c r="I268" s="8">
        <v>4.9683999999999999</v>
      </c>
      <c r="J268" s="11">
        <v>117.24521739130429</v>
      </c>
      <c r="K268" s="8">
        <v>99.55</v>
      </c>
      <c r="L268" s="8">
        <v>287.47000000000003</v>
      </c>
      <c r="M268" s="8">
        <v>0.93</v>
      </c>
      <c r="N268" s="11">
        <v>5.3536900000000003</v>
      </c>
      <c r="O268" s="11">
        <f t="shared" si="21"/>
        <v>6.9882641691991889</v>
      </c>
      <c r="P268" s="11">
        <f t="shared" si="24"/>
        <v>388.86016358677665</v>
      </c>
      <c r="Q268" s="13">
        <v>6.95</v>
      </c>
      <c r="R268" s="11">
        <f t="shared" si="25"/>
        <v>362.73922720731252</v>
      </c>
      <c r="S268" s="13">
        <v>3.02</v>
      </c>
      <c r="T268" s="11">
        <f t="shared" si="27"/>
        <v>412.95945165477838</v>
      </c>
      <c r="U268" s="13">
        <v>13.65</v>
      </c>
      <c r="V268" s="11">
        <f t="shared" si="26"/>
        <v>464.91518210613253</v>
      </c>
      <c r="W268" s="8">
        <v>11.75</v>
      </c>
      <c r="X268" s="8">
        <v>6.27</v>
      </c>
      <c r="Y268" s="20">
        <v>3.5</v>
      </c>
    </row>
    <row r="269" spans="1:25" x14ac:dyDescent="0.3">
      <c r="A269" s="6">
        <v>44652</v>
      </c>
      <c r="B269" s="14">
        <v>6382.88</v>
      </c>
      <c r="C269" s="10">
        <v>1.06</v>
      </c>
      <c r="D269" s="11">
        <f t="shared" si="22"/>
        <v>312.92416868166765</v>
      </c>
      <c r="E269" s="8">
        <v>1.91</v>
      </c>
      <c r="F269" s="11">
        <f t="shared" si="23"/>
        <v>275.56695475533627</v>
      </c>
      <c r="G269" s="10">
        <v>1.42</v>
      </c>
      <c r="H269" s="10">
        <v>1.1100000000000001</v>
      </c>
      <c r="I269" s="10">
        <v>4.758</v>
      </c>
      <c r="J269" s="11">
        <v>104.88800000000001</v>
      </c>
      <c r="K269" s="10">
        <v>99.72</v>
      </c>
      <c r="L269" s="10">
        <v>288.58</v>
      </c>
      <c r="M269" s="10">
        <v>0.83</v>
      </c>
      <c r="N269" s="11">
        <v>5.3613200000000001</v>
      </c>
      <c r="O269" s="11">
        <f t="shared" si="21"/>
        <v>0.14231569837278513</v>
      </c>
      <c r="P269" s="11">
        <f t="shared" si="24"/>
        <v>389.4135726442787</v>
      </c>
      <c r="Q269" s="13">
        <v>2.48</v>
      </c>
      <c r="R269" s="11">
        <f t="shared" si="25"/>
        <v>371.73516004205385</v>
      </c>
      <c r="S269" s="13">
        <v>8.44</v>
      </c>
      <c r="T269" s="11">
        <f t="shared" si="27"/>
        <v>447.81322937444168</v>
      </c>
      <c r="U269" s="13">
        <v>4.74</v>
      </c>
      <c r="V269" s="11">
        <f t="shared" si="26"/>
        <v>486.95216173796319</v>
      </c>
      <c r="W269" s="10">
        <v>10.43</v>
      </c>
      <c r="X269" s="10">
        <v>6.01</v>
      </c>
      <c r="Y269" s="20">
        <v>3.5</v>
      </c>
    </row>
    <row r="270" spans="1:25" x14ac:dyDescent="0.3">
      <c r="A270" s="6">
        <v>44682</v>
      </c>
      <c r="B270" s="7">
        <v>6412.88</v>
      </c>
      <c r="C270" s="8">
        <v>0.47</v>
      </c>
      <c r="D270" s="11">
        <f t="shared" si="22"/>
        <v>314.39491227447149</v>
      </c>
      <c r="E270" s="10">
        <v>1.34</v>
      </c>
      <c r="F270" s="11">
        <f t="shared" si="23"/>
        <v>279.25955194905777</v>
      </c>
      <c r="G270" s="8">
        <v>1.04</v>
      </c>
      <c r="H270" s="8">
        <v>0.66</v>
      </c>
      <c r="I270" s="8">
        <v>4.9550999999999998</v>
      </c>
      <c r="J270" s="11">
        <v>113.11136363636361</v>
      </c>
      <c r="K270" s="8">
        <v>99.74</v>
      </c>
      <c r="L270" s="8">
        <v>291.3</v>
      </c>
      <c r="M270" s="8">
        <v>1.03</v>
      </c>
      <c r="N270" s="11">
        <v>5.5350900000000003</v>
      </c>
      <c r="O270" s="11">
        <f t="shared" si="21"/>
        <v>3.1394250138660831</v>
      </c>
      <c r="P270" s="11">
        <f t="shared" si="24"/>
        <v>401.63891975126273</v>
      </c>
      <c r="Q270" s="13">
        <v>0.92</v>
      </c>
      <c r="R270" s="11">
        <f t="shared" si="25"/>
        <v>375.15512351444073</v>
      </c>
      <c r="S270" s="13">
        <v>-0.43</v>
      </c>
      <c r="T270" s="11">
        <f t="shared" si="27"/>
        <v>445.8876324881316</v>
      </c>
      <c r="U270" s="13">
        <v>3.72</v>
      </c>
      <c r="V270" s="11">
        <f t="shared" si="26"/>
        <v>505.06678215461545</v>
      </c>
      <c r="W270" s="8">
        <v>13.08</v>
      </c>
      <c r="X270" s="8">
        <v>6.19</v>
      </c>
      <c r="Y270" s="20">
        <v>3.5</v>
      </c>
    </row>
    <row r="271" spans="1:25" x14ac:dyDescent="0.3">
      <c r="A271" s="6">
        <v>44713</v>
      </c>
      <c r="B271" s="14">
        <v>6455.85</v>
      </c>
      <c r="C271" s="10">
        <v>0.67</v>
      </c>
      <c r="D271" s="11">
        <f t="shared" si="22"/>
        <v>316.50135818671043</v>
      </c>
      <c r="E271" s="8">
        <v>0.56999999999999995</v>
      </c>
      <c r="F271" s="11">
        <f t="shared" si="23"/>
        <v>280.85133139516739</v>
      </c>
      <c r="G271" s="10">
        <v>0.5</v>
      </c>
      <c r="H271" s="10">
        <v>0.93</v>
      </c>
      <c r="I271" s="10">
        <v>5.0491999999999999</v>
      </c>
      <c r="J271" s="11">
        <v>122.71095238095241</v>
      </c>
      <c r="K271" s="10">
        <v>99.58</v>
      </c>
      <c r="L271" s="10">
        <v>295.07</v>
      </c>
      <c r="M271" s="10">
        <v>1.02</v>
      </c>
      <c r="N271" s="11">
        <v>5.9702299999999999</v>
      </c>
      <c r="O271" s="11">
        <f t="shared" si="21"/>
        <v>7.2884964230858715</v>
      </c>
      <c r="P271" s="11">
        <f t="shared" si="24"/>
        <v>430.91235805105424</v>
      </c>
      <c r="Q271" s="13">
        <v>-0.72</v>
      </c>
      <c r="R271" s="11">
        <f t="shared" si="25"/>
        <v>372.45400662513674</v>
      </c>
      <c r="S271" s="13">
        <v>-6.41</v>
      </c>
      <c r="T271" s="11">
        <f t="shared" si="27"/>
        <v>417.30623524564237</v>
      </c>
      <c r="U271" s="13">
        <v>3.82</v>
      </c>
      <c r="V271" s="11">
        <f t="shared" si="26"/>
        <v>524.36033323292179</v>
      </c>
      <c r="W271" s="10">
        <v>12.95</v>
      </c>
      <c r="X271" s="10">
        <v>5.76</v>
      </c>
      <c r="Y271" s="20">
        <v>3.5</v>
      </c>
    </row>
    <row r="272" spans="1:25" x14ac:dyDescent="0.3">
      <c r="A272" s="6">
        <v>44743</v>
      </c>
      <c r="B272" s="7">
        <v>6411.95</v>
      </c>
      <c r="C272" s="8">
        <v>-0.68</v>
      </c>
      <c r="D272" s="11">
        <f t="shared" si="22"/>
        <v>314.34914895104077</v>
      </c>
      <c r="E272" s="10">
        <v>-4.51</v>
      </c>
      <c r="F272" s="11">
        <f t="shared" si="23"/>
        <v>268.18493634924533</v>
      </c>
      <c r="G272" s="8">
        <v>0.24</v>
      </c>
      <c r="H272" s="8">
        <v>0.96</v>
      </c>
      <c r="I272" s="8">
        <v>5.3681000000000001</v>
      </c>
      <c r="J272" s="11">
        <v>111.92571428571431</v>
      </c>
      <c r="K272" s="8">
        <v>101.47</v>
      </c>
      <c r="L272" s="8">
        <v>294.94</v>
      </c>
      <c r="M272" s="8">
        <v>1.03</v>
      </c>
      <c r="N272" s="11">
        <v>5.7539300000000004</v>
      </c>
      <c r="O272" s="11">
        <f t="shared" si="21"/>
        <v>-3.7591698195841712</v>
      </c>
      <c r="P272" s="11">
        <f t="shared" si="24"/>
        <v>414.7136307383405</v>
      </c>
      <c r="Q272" s="13">
        <v>-15.48</v>
      </c>
      <c r="R272" s="11">
        <f t="shared" si="25"/>
        <v>314.7981263995656</v>
      </c>
      <c r="S272" s="13">
        <v>-11.38</v>
      </c>
      <c r="T272" s="11">
        <f t="shared" si="27"/>
        <v>369.81678567468828</v>
      </c>
      <c r="U272" s="13">
        <v>4.59</v>
      </c>
      <c r="V272" s="11">
        <f t="shared" si="26"/>
        <v>548.42847252831291</v>
      </c>
      <c r="W272" s="8">
        <v>13.08</v>
      </c>
      <c r="X272" s="8">
        <v>4.76</v>
      </c>
      <c r="Y272" s="20">
        <v>3.5</v>
      </c>
    </row>
    <row r="273" spans="1:25" x14ac:dyDescent="0.3">
      <c r="A273" s="6">
        <v>44774</v>
      </c>
      <c r="B273" s="14">
        <v>6388.87</v>
      </c>
      <c r="C273" s="10">
        <v>-0.36</v>
      </c>
      <c r="D273" s="11">
        <f t="shared" si="22"/>
        <v>313.21749201481703</v>
      </c>
      <c r="E273" s="8">
        <v>-3.37</v>
      </c>
      <c r="F273" s="11">
        <f t="shared" si="23"/>
        <v>259.14710399427577</v>
      </c>
      <c r="G273" s="10">
        <v>0.74</v>
      </c>
      <c r="H273" s="10">
        <v>0.14000000000000001</v>
      </c>
      <c r="I273" s="10">
        <v>5.1433</v>
      </c>
      <c r="J273" s="11">
        <v>100.4463636363636</v>
      </c>
      <c r="K273" s="10">
        <v>101.07</v>
      </c>
      <c r="L273" s="10">
        <v>295.16000000000003</v>
      </c>
      <c r="M273" s="10">
        <v>1.17</v>
      </c>
      <c r="N273" s="11">
        <v>5.2700500000000003</v>
      </c>
      <c r="O273" s="11">
        <f t="shared" si="21"/>
        <v>-9.1816965683437548</v>
      </c>
      <c r="P273" s="11">
        <f t="shared" si="24"/>
        <v>376.63588353638448</v>
      </c>
      <c r="Q273" s="13">
        <v>-11.64</v>
      </c>
      <c r="R273" s="11">
        <f t="shared" si="25"/>
        <v>278.15562448665617</v>
      </c>
      <c r="S273" s="13">
        <v>-8.67</v>
      </c>
      <c r="T273" s="11">
        <f t="shared" si="27"/>
        <v>337.75367035669279</v>
      </c>
      <c r="U273" s="13">
        <v>-3.76</v>
      </c>
      <c r="V273" s="11">
        <f t="shared" si="26"/>
        <v>527.80756196124833</v>
      </c>
      <c r="W273" s="10">
        <v>14.98</v>
      </c>
      <c r="X273" s="10">
        <v>5.18</v>
      </c>
      <c r="Y273" s="20">
        <v>3.5</v>
      </c>
    </row>
    <row r="274" spans="1:25" x14ac:dyDescent="0.3">
      <c r="A274" s="6">
        <v>44805</v>
      </c>
      <c r="B274" s="7">
        <v>6370.34</v>
      </c>
      <c r="C274" s="8">
        <v>-0.28999999999999998</v>
      </c>
      <c r="D274" s="11">
        <f t="shared" si="22"/>
        <v>312.30916128797406</v>
      </c>
      <c r="E274" s="10">
        <v>-1.98</v>
      </c>
      <c r="F274" s="11">
        <f t="shared" si="23"/>
        <v>254.01599133518911</v>
      </c>
      <c r="G274" s="8">
        <v>0.02</v>
      </c>
      <c r="H274" s="8">
        <v>0.02</v>
      </c>
      <c r="I274" s="8">
        <v>5.2370000000000001</v>
      </c>
      <c r="J274" s="11">
        <v>89.749545454545455</v>
      </c>
      <c r="K274" s="8">
        <v>101.06</v>
      </c>
      <c r="L274" s="8">
        <v>296.42</v>
      </c>
      <c r="M274" s="8">
        <v>1.07</v>
      </c>
      <c r="N274" s="11">
        <v>4.9483899999999998</v>
      </c>
      <c r="O274" s="11">
        <f t="shared" si="21"/>
        <v>-6.5002960558888949</v>
      </c>
      <c r="P274" s="11">
        <f t="shared" si="24"/>
        <v>352.15343605380662</v>
      </c>
      <c r="Q274" s="13">
        <v>-8.33</v>
      </c>
      <c r="R274" s="11">
        <f t="shared" si="25"/>
        <v>254.98526096691771</v>
      </c>
      <c r="S274" s="13">
        <v>-12.43</v>
      </c>
      <c r="T274" s="11">
        <f t="shared" si="27"/>
        <v>295.77088913135589</v>
      </c>
      <c r="U274" s="13">
        <v>-4.57</v>
      </c>
      <c r="V274" s="11">
        <f t="shared" si="26"/>
        <v>503.68675637961928</v>
      </c>
      <c r="W274" s="8">
        <v>13.62</v>
      </c>
      <c r="X274" s="8">
        <v>4.74</v>
      </c>
      <c r="Y274" s="20">
        <v>3.5</v>
      </c>
    </row>
    <row r="275" spans="1:25" x14ac:dyDescent="0.3">
      <c r="A275" s="6">
        <v>44835</v>
      </c>
      <c r="B275" s="14">
        <v>6407.93</v>
      </c>
      <c r="C275" s="10">
        <v>0.59</v>
      </c>
      <c r="D275" s="11">
        <f t="shared" si="22"/>
        <v>314.15178533957311</v>
      </c>
      <c r="E275" s="8">
        <v>0.57999999999999996</v>
      </c>
      <c r="F275" s="11">
        <f t="shared" si="23"/>
        <v>255.48928408493322</v>
      </c>
      <c r="G275" s="10">
        <v>0.8</v>
      </c>
      <c r="H275" s="10">
        <v>0.67</v>
      </c>
      <c r="I275" s="10">
        <v>5.2503000000000002</v>
      </c>
      <c r="J275" s="11">
        <v>93.331904761904767</v>
      </c>
      <c r="K275" s="10">
        <v>101.32</v>
      </c>
      <c r="L275" s="10">
        <v>297.98</v>
      </c>
      <c r="M275" s="10">
        <v>1.02</v>
      </c>
      <c r="N275" s="11">
        <v>4.7622999999999998</v>
      </c>
      <c r="O275" s="11">
        <f t="shared" si="21"/>
        <v>-3.907565672049222</v>
      </c>
      <c r="P275" s="11">
        <f t="shared" si="24"/>
        <v>338.39280927362626</v>
      </c>
      <c r="Q275" s="13">
        <v>-1.56</v>
      </c>
      <c r="R275" s="11">
        <f t="shared" si="25"/>
        <v>251.0074908958338</v>
      </c>
      <c r="S275" s="13">
        <v>1.34</v>
      </c>
      <c r="T275" s="11">
        <f t="shared" si="27"/>
        <v>299.73421904571603</v>
      </c>
      <c r="U275" s="13">
        <v>-2.19</v>
      </c>
      <c r="V275" s="11">
        <f t="shared" si="26"/>
        <v>492.65601641490559</v>
      </c>
      <c r="W275" s="10">
        <v>12.95</v>
      </c>
      <c r="X275" s="10">
        <v>5.14</v>
      </c>
      <c r="Y275" s="20">
        <v>3.5</v>
      </c>
    </row>
    <row r="276" spans="1:25" x14ac:dyDescent="0.3">
      <c r="A276" s="6">
        <v>44866</v>
      </c>
      <c r="B276" s="7">
        <v>6434.2</v>
      </c>
      <c r="C276" s="8">
        <v>0.41</v>
      </c>
      <c r="D276" s="11">
        <f t="shared" si="22"/>
        <v>315.43980765946537</v>
      </c>
      <c r="E276" s="10">
        <v>0.83</v>
      </c>
      <c r="F276" s="11">
        <f t="shared" si="23"/>
        <v>257.60984514283814</v>
      </c>
      <c r="G276" s="8">
        <v>0.32</v>
      </c>
      <c r="H276" s="8">
        <v>0.14000000000000001</v>
      </c>
      <c r="I276" s="8">
        <v>5.2747000000000002</v>
      </c>
      <c r="J276" s="11">
        <v>91.415454545454551</v>
      </c>
      <c r="K276" s="8">
        <v>100.49</v>
      </c>
      <c r="L276" s="8">
        <v>298.70999999999998</v>
      </c>
      <c r="M276" s="8">
        <v>1.02</v>
      </c>
      <c r="N276" s="11">
        <v>4.7137399999999996</v>
      </c>
      <c r="O276" s="11">
        <f t="shared" si="21"/>
        <v>-1.0301798571834715</v>
      </c>
      <c r="P276" s="11">
        <f t="shared" si="24"/>
        <v>334.90675471433207</v>
      </c>
      <c r="Q276" s="13">
        <v>2.99</v>
      </c>
      <c r="R276" s="11">
        <f t="shared" si="25"/>
        <v>258.51261487361921</v>
      </c>
      <c r="S276" s="13">
        <v>7.57</v>
      </c>
      <c r="T276" s="11">
        <f t="shared" si="27"/>
        <v>322.42409942747673</v>
      </c>
      <c r="U276" s="13">
        <v>0.11</v>
      </c>
      <c r="V276" s="11">
        <f t="shared" si="26"/>
        <v>493.19793803296199</v>
      </c>
      <c r="W276" s="8">
        <v>12.95</v>
      </c>
      <c r="X276" s="8">
        <v>5.37</v>
      </c>
      <c r="Y276" s="20">
        <v>3.5</v>
      </c>
    </row>
    <row r="277" spans="1:25" x14ac:dyDescent="0.3">
      <c r="A277" s="6">
        <v>44896</v>
      </c>
      <c r="B277" s="14">
        <v>6474.09</v>
      </c>
      <c r="C277" s="10">
        <v>0.62</v>
      </c>
      <c r="D277" s="11">
        <f t="shared" si="22"/>
        <v>317.39553446695408</v>
      </c>
      <c r="E277" s="8">
        <v>0.21</v>
      </c>
      <c r="F277" s="11">
        <f t="shared" si="23"/>
        <v>258.15082581763812</v>
      </c>
      <c r="G277" s="10">
        <v>1.08</v>
      </c>
      <c r="H277" s="10">
        <v>0.48</v>
      </c>
      <c r="I277" s="10">
        <v>5.2423999999999999</v>
      </c>
      <c r="J277" s="11">
        <v>80.99666666666667</v>
      </c>
      <c r="K277" s="10">
        <v>100.17</v>
      </c>
      <c r="L277" s="10">
        <v>298.81</v>
      </c>
      <c r="M277" s="10">
        <v>1.1200000000000001</v>
      </c>
      <c r="N277" s="11">
        <v>4.6260599999999998</v>
      </c>
      <c r="O277" s="11">
        <f t="shared" si="21"/>
        <v>-1.8953493901938099</v>
      </c>
      <c r="P277" s="11">
        <f t="shared" si="24"/>
        <v>328.55910158113608</v>
      </c>
      <c r="Q277" s="13">
        <v>-1.04</v>
      </c>
      <c r="R277" s="11">
        <f t="shared" si="25"/>
        <v>255.82408367893356</v>
      </c>
      <c r="S277" s="13">
        <v>0.48</v>
      </c>
      <c r="T277" s="11">
        <f t="shared" si="27"/>
        <v>323.97173510472862</v>
      </c>
      <c r="U277" s="13">
        <v>-2.0699999999999998</v>
      </c>
      <c r="V277" s="11">
        <f t="shared" si="26"/>
        <v>482.98874071567968</v>
      </c>
      <c r="W277" s="10">
        <v>14.3</v>
      </c>
      <c r="X277" s="10">
        <v>5.26</v>
      </c>
      <c r="Y277" s="20">
        <v>3.5</v>
      </c>
    </row>
    <row r="278" spans="1:25" x14ac:dyDescent="0.3">
      <c r="A278" s="6">
        <v>44927</v>
      </c>
      <c r="B278" s="7">
        <v>6508.4</v>
      </c>
      <c r="C278" s="8">
        <v>0.53</v>
      </c>
      <c r="D278" s="11">
        <f t="shared" si="22"/>
        <v>319.07773079962891</v>
      </c>
      <c r="E278" s="10">
        <v>0.55000000000000004</v>
      </c>
      <c r="F278" s="11">
        <f t="shared" si="23"/>
        <v>259.57065535963511</v>
      </c>
      <c r="G278" s="8">
        <v>0.24</v>
      </c>
      <c r="H278" s="8">
        <v>0.64</v>
      </c>
      <c r="I278" s="8">
        <v>5.2007000000000003</v>
      </c>
      <c r="J278" s="11">
        <v>82.534999999999997</v>
      </c>
      <c r="K278" s="8">
        <v>100.25</v>
      </c>
      <c r="L278" s="8">
        <v>300.45999999999998</v>
      </c>
      <c r="M278" s="8">
        <v>1.1200000000000001</v>
      </c>
      <c r="N278" s="11">
        <v>4.6590299999999996</v>
      </c>
      <c r="O278" s="11">
        <f t="shared" si="21"/>
        <v>0.70765803182206866</v>
      </c>
      <c r="P278" s="11">
        <f t="shared" si="24"/>
        <v>330.8841764527574</v>
      </c>
      <c r="Q278" s="13">
        <v>0.83</v>
      </c>
      <c r="R278" s="11">
        <f t="shared" si="25"/>
        <v>257.94742357346871</v>
      </c>
      <c r="S278" s="13">
        <v>0.72</v>
      </c>
      <c r="T278" s="11">
        <f t="shared" si="27"/>
        <v>326.30433159748264</v>
      </c>
      <c r="U278" s="13">
        <v>-1.4</v>
      </c>
      <c r="V278" s="11">
        <f t="shared" si="26"/>
        <v>476.22689834566017</v>
      </c>
      <c r="W278" s="8">
        <v>14.3</v>
      </c>
      <c r="X278" s="8">
        <v>5.71</v>
      </c>
      <c r="Y278" s="22">
        <v>3.25</v>
      </c>
    </row>
    <row r="279" spans="1:25" x14ac:dyDescent="0.3">
      <c r="A279" s="6">
        <v>44958</v>
      </c>
      <c r="B279" s="14">
        <v>6563.07</v>
      </c>
      <c r="C279" s="10">
        <v>0.84</v>
      </c>
      <c r="D279" s="11">
        <f t="shared" si="22"/>
        <v>321.75798373834579</v>
      </c>
      <c r="E279" s="8">
        <v>0.37</v>
      </c>
      <c r="F279" s="11">
        <f t="shared" si="23"/>
        <v>260.53106678446574</v>
      </c>
      <c r="G279" s="10">
        <v>0.38</v>
      </c>
      <c r="H279" s="10">
        <v>1.18</v>
      </c>
      <c r="I279" s="10">
        <v>5.1717000000000004</v>
      </c>
      <c r="J279" s="11">
        <v>82.585000000000008</v>
      </c>
      <c r="K279" s="10">
        <v>103.28</v>
      </c>
      <c r="L279" s="10">
        <v>301.48</v>
      </c>
      <c r="M279" s="10">
        <v>0.92</v>
      </c>
      <c r="N279" s="11">
        <v>4.6767099999999999</v>
      </c>
      <c r="O279" s="11">
        <f t="shared" si="21"/>
        <v>0.37804353915466993</v>
      </c>
      <c r="P279" s="11">
        <f t="shared" si="24"/>
        <v>332.13506270392219</v>
      </c>
      <c r="Q279" s="13">
        <v>1.1599999999999999</v>
      </c>
      <c r="R279" s="11">
        <f t="shared" si="25"/>
        <v>260.93961368692095</v>
      </c>
      <c r="S279" s="13">
        <v>-1.03</v>
      </c>
      <c r="T279" s="11">
        <f t="shared" si="27"/>
        <v>322.94339698202856</v>
      </c>
      <c r="U279" s="13">
        <v>-3.25</v>
      </c>
      <c r="V279" s="11">
        <f t="shared" si="26"/>
        <v>460.74952414942624</v>
      </c>
      <c r="W279" s="10">
        <v>11.62</v>
      </c>
      <c r="X279" s="10">
        <v>5.77</v>
      </c>
      <c r="Y279" s="22">
        <v>3.25</v>
      </c>
    </row>
    <row r="280" spans="1:25" x14ac:dyDescent="0.3">
      <c r="A280" s="6">
        <v>44986</v>
      </c>
      <c r="B280" s="7">
        <v>6609.67</v>
      </c>
      <c r="C280" s="8">
        <v>0.71</v>
      </c>
      <c r="D280" s="11">
        <f t="shared" si="22"/>
        <v>324.04246542288803</v>
      </c>
      <c r="E280" s="10">
        <v>2.11</v>
      </c>
      <c r="F280" s="11">
        <f t="shared" si="23"/>
        <v>266.02827229361799</v>
      </c>
      <c r="G280" s="8">
        <v>7.0000000000000007E-2</v>
      </c>
      <c r="H280" s="8">
        <v>0.25</v>
      </c>
      <c r="I280" s="8">
        <v>5.2115</v>
      </c>
      <c r="J280" s="11">
        <v>78.434347826086963</v>
      </c>
      <c r="K280" s="8">
        <v>102.98</v>
      </c>
      <c r="L280" s="8">
        <v>301.64</v>
      </c>
      <c r="M280" s="8">
        <v>1.17</v>
      </c>
      <c r="N280" s="11">
        <v>4.6665700000000001</v>
      </c>
      <c r="O280" s="11">
        <f t="shared" si="21"/>
        <v>-0.21729021529731293</v>
      </c>
      <c r="P280" s="11">
        <f t="shared" si="24"/>
        <v>331.41336571109497</v>
      </c>
      <c r="Q280" s="13">
        <v>8.33</v>
      </c>
      <c r="R280" s="11">
        <f t="shared" si="25"/>
        <v>282.67588350704148</v>
      </c>
      <c r="S280" s="13">
        <v>3.2</v>
      </c>
      <c r="T280" s="11">
        <f t="shared" si="27"/>
        <v>333.27758568545346</v>
      </c>
      <c r="U280" s="13">
        <v>-3.71</v>
      </c>
      <c r="V280" s="11">
        <f t="shared" si="26"/>
        <v>443.65571680348251</v>
      </c>
      <c r="W280" s="8">
        <v>14.98</v>
      </c>
      <c r="X280" s="8">
        <v>5.55</v>
      </c>
      <c r="Y280" s="22">
        <v>3.25</v>
      </c>
    </row>
    <row r="281" spans="1:25" x14ac:dyDescent="0.3">
      <c r="A281" s="6">
        <v>45017</v>
      </c>
      <c r="B281" s="14">
        <v>6649.99</v>
      </c>
      <c r="C281" s="10">
        <v>0.61</v>
      </c>
      <c r="D281" s="11">
        <f t="shared" si="22"/>
        <v>326.01912446196764</v>
      </c>
      <c r="E281" s="8">
        <v>0.56000000000000005</v>
      </c>
      <c r="F281" s="11">
        <f t="shared" si="23"/>
        <v>267.51803061846226</v>
      </c>
      <c r="G281" s="10">
        <v>0.26</v>
      </c>
      <c r="H281" s="10">
        <v>0.73</v>
      </c>
      <c r="I281" s="10">
        <v>5.0197000000000003</v>
      </c>
      <c r="J281" s="11">
        <v>84.739473684210523</v>
      </c>
      <c r="K281" s="10">
        <v>104.4</v>
      </c>
      <c r="L281" s="10">
        <v>302.86</v>
      </c>
      <c r="M281" s="10">
        <v>0.92</v>
      </c>
      <c r="N281" s="11">
        <v>4.5919600000000003</v>
      </c>
      <c r="O281" s="11">
        <f t="shared" si="21"/>
        <v>-1.6247963832437529</v>
      </c>
      <c r="P281" s="11">
        <f t="shared" si="24"/>
        <v>326.0285733314347</v>
      </c>
      <c r="Q281" s="13">
        <v>-0.52</v>
      </c>
      <c r="R281" s="11">
        <f t="shared" si="25"/>
        <v>281.20596891280485</v>
      </c>
      <c r="S281" s="13">
        <v>0.92</v>
      </c>
      <c r="T281" s="11">
        <f t="shared" si="27"/>
        <v>336.34373947375963</v>
      </c>
      <c r="U281" s="13">
        <v>-2.25</v>
      </c>
      <c r="V281" s="11">
        <f t="shared" si="26"/>
        <v>433.67346317540415</v>
      </c>
      <c r="W281" s="10">
        <v>11.62</v>
      </c>
      <c r="X281" s="10">
        <v>5.28</v>
      </c>
      <c r="Y281" s="22">
        <v>3.25</v>
      </c>
    </row>
    <row r="282" spans="1:25" x14ac:dyDescent="0.3">
      <c r="A282" s="6">
        <v>45047</v>
      </c>
      <c r="B282" s="7">
        <v>6665.28</v>
      </c>
      <c r="C282" s="8">
        <v>0.23</v>
      </c>
      <c r="D282" s="11">
        <f t="shared" si="22"/>
        <v>326.76896844823017</v>
      </c>
      <c r="E282" s="10">
        <v>-0.56999999999999995</v>
      </c>
      <c r="F282" s="11">
        <f t="shared" si="23"/>
        <v>265.99317784393702</v>
      </c>
      <c r="G282" s="8">
        <v>0.06</v>
      </c>
      <c r="H282" s="8">
        <v>7.0000000000000007E-2</v>
      </c>
      <c r="I282" s="8">
        <v>4.9828000000000001</v>
      </c>
      <c r="J282" s="11">
        <v>75.465999999999994</v>
      </c>
      <c r="K282" s="8">
        <v>102.58</v>
      </c>
      <c r="L282" s="8">
        <v>303.32</v>
      </c>
      <c r="M282" s="8">
        <v>1.1200000000000001</v>
      </c>
      <c r="N282" s="11">
        <v>4.4926000000000004</v>
      </c>
      <c r="O282" s="11">
        <f t="shared" si="21"/>
        <v>-2.2116369140364132</v>
      </c>
      <c r="P282" s="11">
        <f t="shared" si="24"/>
        <v>318.81800505333041</v>
      </c>
      <c r="Q282" s="13">
        <v>-1.93</v>
      </c>
      <c r="R282" s="11">
        <f t="shared" si="25"/>
        <v>275.77869371278774</v>
      </c>
      <c r="S282" s="13">
        <v>0.38</v>
      </c>
      <c r="T282" s="11">
        <f t="shared" si="27"/>
        <v>337.62184568375989</v>
      </c>
      <c r="U282" s="13">
        <v>-5.96</v>
      </c>
      <c r="V282" s="11">
        <f t="shared" si="26"/>
        <v>407.82652477015006</v>
      </c>
      <c r="W282" s="8">
        <v>14.3</v>
      </c>
      <c r="X282" s="8">
        <v>4.6900000000000004</v>
      </c>
      <c r="Y282" s="22">
        <v>3.25</v>
      </c>
    </row>
    <row r="283" spans="1:25" x14ac:dyDescent="0.3">
      <c r="A283" s="6">
        <v>45078</v>
      </c>
      <c r="B283" s="14">
        <v>6659.95</v>
      </c>
      <c r="C283" s="10">
        <v>-0.08</v>
      </c>
      <c r="D283" s="11">
        <f t="shared" si="22"/>
        <v>326.50755327347156</v>
      </c>
      <c r="E283" s="8">
        <v>-0.41</v>
      </c>
      <c r="F283" s="11">
        <f t="shared" si="23"/>
        <v>264.9026058147769</v>
      </c>
      <c r="G283" s="10">
        <v>-0.76</v>
      </c>
      <c r="H283" s="10">
        <v>0.35</v>
      </c>
      <c r="I283" s="10">
        <v>4.8516000000000004</v>
      </c>
      <c r="J283" s="11">
        <v>74.839090909090913</v>
      </c>
      <c r="K283" s="10">
        <v>102.45</v>
      </c>
      <c r="L283" s="10">
        <v>304.10000000000002</v>
      </c>
      <c r="M283" s="10">
        <v>1.07</v>
      </c>
      <c r="N283" s="11">
        <v>4.4476500000000003</v>
      </c>
      <c r="O283" s="11">
        <f t="shared" si="21"/>
        <v>-1.0106460715209165</v>
      </c>
      <c r="P283" s="11">
        <f t="shared" si="24"/>
        <v>315.59588340995759</v>
      </c>
      <c r="Q283" s="13">
        <v>-1.1399999999999999</v>
      </c>
      <c r="R283" s="11">
        <f t="shared" si="25"/>
        <v>272.63481660446195</v>
      </c>
      <c r="S283" s="13">
        <v>-5.1100000000000003</v>
      </c>
      <c r="T283" s="11">
        <f t="shared" si="27"/>
        <v>320.36936936931977</v>
      </c>
      <c r="U283" s="13">
        <v>-6.68</v>
      </c>
      <c r="V283" s="11">
        <f t="shared" si="26"/>
        <v>380.58371291550401</v>
      </c>
      <c r="W283" s="10">
        <v>13.62</v>
      </c>
      <c r="X283" s="10">
        <v>3.99</v>
      </c>
      <c r="Y283" s="22">
        <v>3.25</v>
      </c>
    </row>
    <row r="284" spans="1:25" x14ac:dyDescent="0.3">
      <c r="A284" s="6">
        <v>45108</v>
      </c>
      <c r="B284" s="7">
        <v>6667.94</v>
      </c>
      <c r="C284" s="8">
        <v>0.12</v>
      </c>
      <c r="D284" s="11">
        <f t="shared" si="22"/>
        <v>326.89936233739974</v>
      </c>
      <c r="E284" s="10">
        <v>1.5</v>
      </c>
      <c r="F284" s="11">
        <f t="shared" si="23"/>
        <v>268.87614490199854</v>
      </c>
      <c r="G284" s="8">
        <v>-0.09</v>
      </c>
      <c r="H284" s="8">
        <v>0.08</v>
      </c>
      <c r="I284" s="8">
        <v>4.8007999999999997</v>
      </c>
      <c r="J284" s="11">
        <v>79.908695652173918</v>
      </c>
      <c r="K284" s="8">
        <v>102.92</v>
      </c>
      <c r="L284" s="8">
        <v>304.62</v>
      </c>
      <c r="M284" s="8">
        <v>1.07</v>
      </c>
      <c r="N284" s="11">
        <v>4.4807199999999998</v>
      </c>
      <c r="O284" s="11">
        <f t="shared" ref="O284:O312" si="28">((N284-N283)/N284)*100</f>
        <v>0.738051027513424</v>
      </c>
      <c r="P284" s="11">
        <f t="shared" si="24"/>
        <v>317.92514207025488</v>
      </c>
      <c r="Q284" s="13">
        <v>4.75</v>
      </c>
      <c r="R284" s="11">
        <f t="shared" si="25"/>
        <v>285.58497039317388</v>
      </c>
      <c r="S284" s="13">
        <v>1.57</v>
      </c>
      <c r="T284" s="11">
        <f t="shared" si="27"/>
        <v>325.39916846841811</v>
      </c>
      <c r="U284" s="13">
        <v>-1.37</v>
      </c>
      <c r="V284" s="11">
        <f t="shared" si="26"/>
        <v>375.3697160485616</v>
      </c>
      <c r="W284" s="8">
        <v>13.62</v>
      </c>
      <c r="X284" s="8">
        <v>4.09</v>
      </c>
      <c r="Y284" s="22">
        <v>3.25</v>
      </c>
    </row>
    <row r="285" spans="1:25" x14ac:dyDescent="0.3">
      <c r="A285" s="6">
        <v>45139</v>
      </c>
      <c r="B285" s="14">
        <v>6683.28</v>
      </c>
      <c r="C285" s="10">
        <v>0.23</v>
      </c>
      <c r="D285" s="11">
        <f t="shared" si="22"/>
        <v>327.65123087077575</v>
      </c>
      <c r="E285" s="8">
        <v>0.34</v>
      </c>
      <c r="F285" s="11">
        <f t="shared" si="23"/>
        <v>269.79032379466531</v>
      </c>
      <c r="G285" s="10">
        <v>0.01</v>
      </c>
      <c r="H285" s="10">
        <v>-0.22</v>
      </c>
      <c r="I285" s="10">
        <v>4.9035000000000002</v>
      </c>
      <c r="J285" s="11">
        <v>86.147727272727266</v>
      </c>
      <c r="K285" s="10">
        <v>102.48</v>
      </c>
      <c r="L285" s="10">
        <v>306.14</v>
      </c>
      <c r="M285" s="10">
        <v>1.1399999999999999</v>
      </c>
      <c r="N285" s="11">
        <v>4.7056199999999997</v>
      </c>
      <c r="O285" s="11">
        <f t="shared" si="28"/>
        <v>4.779391451073395</v>
      </c>
      <c r="P285" s="11">
        <f t="shared" si="24"/>
        <v>333.12002913117357</v>
      </c>
      <c r="Q285" s="13">
        <v>1.24</v>
      </c>
      <c r="R285" s="11">
        <f t="shared" si="25"/>
        <v>289.12622402604921</v>
      </c>
      <c r="S285" s="13">
        <v>-4.26</v>
      </c>
      <c r="T285" s="11">
        <f t="shared" si="27"/>
        <v>311.53716389166351</v>
      </c>
      <c r="U285" s="13">
        <v>8.5399999999999991</v>
      </c>
      <c r="V285" s="11">
        <f t="shared" si="26"/>
        <v>407.42628979910876</v>
      </c>
      <c r="W285" s="10">
        <v>14.57</v>
      </c>
      <c r="X285" s="10">
        <v>4.22</v>
      </c>
      <c r="Y285" s="22">
        <v>3.25</v>
      </c>
    </row>
    <row r="286" spans="1:25" x14ac:dyDescent="0.3">
      <c r="A286" s="6">
        <v>45170</v>
      </c>
      <c r="B286" s="7">
        <v>6700.66</v>
      </c>
      <c r="C286" s="8">
        <v>0.26</v>
      </c>
      <c r="D286" s="11">
        <f t="shared" si="22"/>
        <v>328.50312407103979</v>
      </c>
      <c r="E286" s="10">
        <v>1.4</v>
      </c>
      <c r="F286" s="11">
        <f t="shared" si="23"/>
        <v>273.56738832779064</v>
      </c>
      <c r="G286" s="8">
        <v>-0.32</v>
      </c>
      <c r="H286" s="8">
        <v>0.18</v>
      </c>
      <c r="I286" s="8">
        <v>4.9370000000000003</v>
      </c>
      <c r="J286" s="11">
        <v>93.905000000000001</v>
      </c>
      <c r="K286" s="8">
        <v>102.42</v>
      </c>
      <c r="L286" s="8">
        <v>307.37</v>
      </c>
      <c r="M286" s="8">
        <v>0.97</v>
      </c>
      <c r="N286" s="11">
        <v>4.9268700000000001</v>
      </c>
      <c r="O286" s="11">
        <f t="shared" si="28"/>
        <v>4.4906806958576215</v>
      </c>
      <c r="P286" s="11">
        <f t="shared" si="24"/>
        <v>348.07938597340245</v>
      </c>
      <c r="Q286" s="13">
        <v>2.8</v>
      </c>
      <c r="R286" s="11">
        <f t="shared" si="25"/>
        <v>297.22175829877858</v>
      </c>
      <c r="S286" s="13">
        <v>-0.62</v>
      </c>
      <c r="T286" s="11">
        <f t="shared" si="27"/>
        <v>309.60563347553517</v>
      </c>
      <c r="U286" s="13">
        <v>10.11</v>
      </c>
      <c r="V286" s="11">
        <f t="shared" si="26"/>
        <v>448.61708769779864</v>
      </c>
      <c r="W286" s="8">
        <v>12.28</v>
      </c>
      <c r="X286" s="8">
        <v>4.1100000000000003</v>
      </c>
      <c r="Y286" s="22">
        <v>3.25</v>
      </c>
    </row>
    <row r="287" spans="1:25" x14ac:dyDescent="0.3">
      <c r="A287" s="6">
        <v>45200</v>
      </c>
      <c r="B287" s="14">
        <v>6716.74</v>
      </c>
      <c r="C287" s="10">
        <v>0.24</v>
      </c>
      <c r="D287" s="11">
        <f t="shared" si="22"/>
        <v>329.29153156881029</v>
      </c>
      <c r="E287" s="8">
        <v>0.35</v>
      </c>
      <c r="F287" s="11">
        <f t="shared" si="23"/>
        <v>274.52487418693789</v>
      </c>
      <c r="G287" s="10">
        <v>0.24</v>
      </c>
      <c r="H287" s="10">
        <v>0.41</v>
      </c>
      <c r="I287" s="10">
        <v>5.0648</v>
      </c>
      <c r="J287" s="11">
        <v>90.775714285714287</v>
      </c>
      <c r="K287" s="10">
        <v>102.67</v>
      </c>
      <c r="L287" s="10">
        <v>307.64999999999998</v>
      </c>
      <c r="M287" s="10">
        <v>1</v>
      </c>
      <c r="N287" s="11">
        <v>4.9525199999999998</v>
      </c>
      <c r="O287" s="11">
        <f t="shared" si="28"/>
        <v>0.5179181507596079</v>
      </c>
      <c r="P287" s="11">
        <f t="shared" si="24"/>
        <v>349.88215229241132</v>
      </c>
      <c r="Q287" s="13">
        <v>-1.53</v>
      </c>
      <c r="R287" s="11">
        <f t="shared" si="25"/>
        <v>292.67426539680724</v>
      </c>
      <c r="S287" s="13">
        <v>-0.96</v>
      </c>
      <c r="T287" s="11">
        <f t="shared" si="27"/>
        <v>306.63341939417006</v>
      </c>
      <c r="U287" s="13">
        <v>0.33</v>
      </c>
      <c r="V287" s="11">
        <f t="shared" si="26"/>
        <v>450.09752408720135</v>
      </c>
      <c r="W287" s="10">
        <v>12.68</v>
      </c>
      <c r="X287" s="10">
        <v>3.92</v>
      </c>
      <c r="Y287" s="22">
        <v>3.25</v>
      </c>
    </row>
    <row r="288" spans="1:25" x14ac:dyDescent="0.3">
      <c r="A288" s="6">
        <v>45231</v>
      </c>
      <c r="B288" s="7">
        <v>6735.55</v>
      </c>
      <c r="C288" s="8">
        <v>0.28000000000000003</v>
      </c>
      <c r="D288" s="11">
        <f t="shared" si="22"/>
        <v>330.21354785720297</v>
      </c>
      <c r="E288" s="10">
        <v>0.27</v>
      </c>
      <c r="F288" s="11">
        <f t="shared" si="23"/>
        <v>275.26609134724265</v>
      </c>
      <c r="G288" s="8">
        <v>-0.12</v>
      </c>
      <c r="H288" s="8">
        <v>0.65</v>
      </c>
      <c r="I288" s="8">
        <v>4.8982999999999999</v>
      </c>
      <c r="J288" s="11">
        <v>82.167894736842115</v>
      </c>
      <c r="K288" s="8">
        <v>103.52</v>
      </c>
      <c r="L288" s="8">
        <v>308.08999999999997</v>
      </c>
      <c r="M288" s="8">
        <v>0.92</v>
      </c>
      <c r="N288" s="11">
        <v>4.8006000000000002</v>
      </c>
      <c r="O288" s="11">
        <f t="shared" si="28"/>
        <v>-3.164604424446936</v>
      </c>
      <c r="P288" s="11">
        <f t="shared" si="24"/>
        <v>338.80976622061553</v>
      </c>
      <c r="Q288" s="13">
        <v>-1.69</v>
      </c>
      <c r="R288" s="11">
        <f t="shared" si="25"/>
        <v>287.72807031160119</v>
      </c>
      <c r="S288" s="13">
        <v>-1.86</v>
      </c>
      <c r="T288" s="11">
        <f t="shared" si="27"/>
        <v>300.93003779343849</v>
      </c>
      <c r="U288" s="13">
        <v>0.87</v>
      </c>
      <c r="V288" s="11">
        <f t="shared" si="26"/>
        <v>454.01337254676002</v>
      </c>
      <c r="W288" s="8">
        <v>11.62</v>
      </c>
      <c r="X288" s="8">
        <v>3.92</v>
      </c>
      <c r="Y288" s="22">
        <v>3.25</v>
      </c>
    </row>
    <row r="289" spans="1:25" x14ac:dyDescent="0.3">
      <c r="A289" s="6">
        <v>45261</v>
      </c>
      <c r="B289" s="14">
        <v>6773.27</v>
      </c>
      <c r="C289" s="10">
        <v>0.56000000000000005</v>
      </c>
      <c r="D289" s="11">
        <f t="shared" si="22"/>
        <v>332.06274372520329</v>
      </c>
      <c r="E289" s="8">
        <v>0.48</v>
      </c>
      <c r="F289" s="11">
        <f t="shared" si="23"/>
        <v>276.58736858570944</v>
      </c>
      <c r="G289" s="10">
        <v>0.59</v>
      </c>
      <c r="H289" s="10">
        <v>0.69</v>
      </c>
      <c r="I289" s="10">
        <v>4.8971999999999998</v>
      </c>
      <c r="J289" s="11">
        <v>77.760999999999996</v>
      </c>
      <c r="K289" s="10">
        <v>104.41</v>
      </c>
      <c r="L289" s="10">
        <v>308.74</v>
      </c>
      <c r="M289" s="10">
        <v>0.89</v>
      </c>
      <c r="N289" s="11">
        <v>4.6477700000000004</v>
      </c>
      <c r="O289" s="11">
        <f t="shared" si="28"/>
        <v>-3.2882436093007996</v>
      </c>
      <c r="P289" s="11">
        <f t="shared" si="24"/>
        <v>327.66887573517914</v>
      </c>
      <c r="Q289" s="13">
        <v>-0.34</v>
      </c>
      <c r="R289" s="11">
        <f t="shared" si="25"/>
        <v>286.74979487254177</v>
      </c>
      <c r="S289" s="13">
        <v>-1.24</v>
      </c>
      <c r="T289" s="11">
        <f t="shared" si="27"/>
        <v>297.19850532479984</v>
      </c>
      <c r="U289" s="13">
        <v>-1.96</v>
      </c>
      <c r="V289" s="11">
        <f t="shared" si="26"/>
        <v>445.11471044484352</v>
      </c>
      <c r="W289" s="10">
        <v>11.22</v>
      </c>
      <c r="X289" s="10">
        <v>3.81</v>
      </c>
      <c r="Y289" s="22">
        <v>3.25</v>
      </c>
    </row>
    <row r="290" spans="1:25" x14ac:dyDescent="0.3">
      <c r="A290" s="6">
        <v>45292</v>
      </c>
      <c r="B290" s="7">
        <v>6801.72</v>
      </c>
      <c r="C290" s="8">
        <v>0.42</v>
      </c>
      <c r="D290" s="11">
        <f t="shared" si="22"/>
        <v>333.45740724884917</v>
      </c>
      <c r="E290" s="10">
        <v>-0.65</v>
      </c>
      <c r="F290" s="11">
        <f t="shared" si="23"/>
        <v>274.78955068990234</v>
      </c>
      <c r="G290" s="8">
        <v>0.67</v>
      </c>
      <c r="H290" s="8">
        <v>0.37</v>
      </c>
      <c r="I290" s="8">
        <v>4.9143999999999997</v>
      </c>
      <c r="J290" s="11">
        <v>80.12409090909091</v>
      </c>
      <c r="K290" s="8">
        <v>104.47</v>
      </c>
      <c r="L290" s="8">
        <v>309.79000000000002</v>
      </c>
      <c r="M290" s="8">
        <v>0.97</v>
      </c>
      <c r="N290" s="11">
        <v>4.5528000000000004</v>
      </c>
      <c r="O290" s="11">
        <f t="shared" si="28"/>
        <v>-2.0859690739764538</v>
      </c>
      <c r="P290" s="11">
        <f t="shared" si="24"/>
        <v>320.83380432229694</v>
      </c>
      <c r="Q290" s="13">
        <v>-0.31</v>
      </c>
      <c r="R290" s="11">
        <f t="shared" si="25"/>
        <v>285.8608705084369</v>
      </c>
      <c r="S290" s="13">
        <v>-1.55</v>
      </c>
      <c r="T290" s="11">
        <f t="shared" si="27"/>
        <v>292.59192849226542</v>
      </c>
      <c r="U290" s="13">
        <v>-1</v>
      </c>
      <c r="V290" s="11">
        <f t="shared" si="26"/>
        <v>440.66356334039511</v>
      </c>
      <c r="W290" s="8">
        <v>12.28</v>
      </c>
      <c r="X290" s="8">
        <v>3.8</v>
      </c>
      <c r="Y290" s="20">
        <v>3</v>
      </c>
    </row>
    <row r="291" spans="1:25" x14ac:dyDescent="0.3">
      <c r="A291" s="6">
        <v>45323</v>
      </c>
      <c r="B291" s="14">
        <v>6858.17</v>
      </c>
      <c r="C291" s="10">
        <v>0.83</v>
      </c>
      <c r="D291" s="11">
        <f t="shared" si="22"/>
        <v>336.22510372901462</v>
      </c>
      <c r="E291" s="8">
        <v>0.72</v>
      </c>
      <c r="F291" s="11">
        <f t="shared" si="23"/>
        <v>276.76803545486962</v>
      </c>
      <c r="G291" s="10">
        <v>0.42</v>
      </c>
      <c r="H291" s="10">
        <v>1.1000000000000001</v>
      </c>
      <c r="I291" s="10">
        <v>4.9644000000000004</v>
      </c>
      <c r="J291" s="11">
        <v>83.478095238095236</v>
      </c>
      <c r="K291" s="10">
        <v>104.96</v>
      </c>
      <c r="L291" s="10">
        <v>311.02</v>
      </c>
      <c r="M291" s="10">
        <v>0.8</v>
      </c>
      <c r="N291" s="11">
        <v>4.5099799999999997</v>
      </c>
      <c r="O291" s="11">
        <f t="shared" si="28"/>
        <v>-0.9494498866957447</v>
      </c>
      <c r="P291" s="11">
        <f t="shared" si="24"/>
        <v>317.78764813067727</v>
      </c>
      <c r="Q291" s="13">
        <v>2.93</v>
      </c>
      <c r="R291" s="11">
        <f t="shared" si="25"/>
        <v>294.23659401433412</v>
      </c>
      <c r="S291" s="13">
        <v>4.5199999999999996</v>
      </c>
      <c r="T291" s="11">
        <f t="shared" si="27"/>
        <v>305.81708366011583</v>
      </c>
      <c r="U291" s="13">
        <v>0.14000000000000001</v>
      </c>
      <c r="V291" s="11">
        <f t="shared" si="26"/>
        <v>441.28049232907165</v>
      </c>
      <c r="W291" s="10">
        <v>10.029999999999999</v>
      </c>
      <c r="X291" s="10">
        <v>3.75</v>
      </c>
      <c r="Y291" s="20">
        <v>3</v>
      </c>
    </row>
    <row r="292" spans="1:25" x14ac:dyDescent="0.3">
      <c r="A292" s="6">
        <v>45352</v>
      </c>
      <c r="B292" s="7">
        <v>6869.14</v>
      </c>
      <c r="C292" s="8">
        <v>0.16</v>
      </c>
      <c r="D292" s="11">
        <f t="shared" si="22"/>
        <v>336.76306389498103</v>
      </c>
      <c r="E292" s="10">
        <v>-0.33</v>
      </c>
      <c r="F292" s="11">
        <f t="shared" si="23"/>
        <v>275.85470093786853</v>
      </c>
      <c r="G292" s="8">
        <v>0.05</v>
      </c>
      <c r="H292" s="8">
        <v>0.18</v>
      </c>
      <c r="I292" s="8">
        <v>4.9801000000000002</v>
      </c>
      <c r="J292" s="11">
        <v>85.408500000000004</v>
      </c>
      <c r="K292" s="8">
        <v>104.65</v>
      </c>
      <c r="L292" s="8">
        <v>312.11</v>
      </c>
      <c r="M292" s="8">
        <v>0.83</v>
      </c>
      <c r="N292" s="11">
        <v>4.5229200000000001</v>
      </c>
      <c r="O292" s="11">
        <f t="shared" si="28"/>
        <v>0.28609836123567067</v>
      </c>
      <c r="P292" s="11">
        <f t="shared" si="24"/>
        <v>318.69683338418849</v>
      </c>
      <c r="Q292" s="13">
        <v>0.21</v>
      </c>
      <c r="R292" s="11">
        <f t="shared" si="25"/>
        <v>294.85449086176419</v>
      </c>
      <c r="S292" s="13">
        <v>0.55000000000000004</v>
      </c>
      <c r="T292" s="11">
        <f t="shared" si="27"/>
        <v>307.49907762024645</v>
      </c>
      <c r="U292" s="13">
        <v>-0.73</v>
      </c>
      <c r="V292" s="11">
        <f t="shared" si="26"/>
        <v>438.05914473506942</v>
      </c>
      <c r="W292" s="8">
        <v>10.43</v>
      </c>
      <c r="X292" s="8">
        <v>3.39</v>
      </c>
      <c r="Y292" s="20">
        <v>3</v>
      </c>
    </row>
    <row r="293" spans="1:25" x14ac:dyDescent="0.3">
      <c r="A293" s="6">
        <v>45383</v>
      </c>
      <c r="B293" s="14">
        <v>6895.24</v>
      </c>
      <c r="C293" s="10">
        <v>0.38</v>
      </c>
      <c r="D293" s="11">
        <f t="shared" si="22"/>
        <v>338.04276353778198</v>
      </c>
      <c r="E293" s="8">
        <v>0.14000000000000001</v>
      </c>
      <c r="F293" s="11">
        <f t="shared" si="23"/>
        <v>276.24089751918154</v>
      </c>
      <c r="G293" s="10">
        <v>0.23</v>
      </c>
      <c r="H293" s="10">
        <v>0.27</v>
      </c>
      <c r="I293" s="10">
        <v>5.1291000000000002</v>
      </c>
      <c r="J293" s="11">
        <v>89.938095238095244</v>
      </c>
      <c r="K293" s="10">
        <v>105.39</v>
      </c>
      <c r="L293" s="10">
        <v>313.02</v>
      </c>
      <c r="M293" s="10">
        <v>0.89</v>
      </c>
      <c r="N293" s="11">
        <v>4.5034900000000002</v>
      </c>
      <c r="O293" s="11">
        <f t="shared" si="28"/>
        <v>-0.43144316963066059</v>
      </c>
      <c r="P293" s="11">
        <f t="shared" si="24"/>
        <v>317.3218376647232</v>
      </c>
      <c r="Q293" s="13">
        <v>1.5</v>
      </c>
      <c r="R293" s="11">
        <f t="shared" si="25"/>
        <v>299.27730822469067</v>
      </c>
      <c r="S293" s="13">
        <v>4.5599999999999996</v>
      </c>
      <c r="T293" s="11">
        <f t="shared" si="27"/>
        <v>321.52103555972968</v>
      </c>
      <c r="U293" s="13">
        <v>0.32</v>
      </c>
      <c r="V293" s="11">
        <f t="shared" si="26"/>
        <v>439.46093399822166</v>
      </c>
      <c r="W293" s="10">
        <v>11.22</v>
      </c>
      <c r="X293" s="10">
        <v>3.58</v>
      </c>
      <c r="Y293" s="20">
        <v>3</v>
      </c>
    </row>
    <row r="294" spans="1:25" x14ac:dyDescent="0.3">
      <c r="A294" s="6">
        <v>45413</v>
      </c>
      <c r="B294" s="7">
        <v>6926.96</v>
      </c>
      <c r="C294" s="8">
        <v>0.46</v>
      </c>
      <c r="D294" s="11">
        <f t="shared" si="22"/>
        <v>339.59776025005579</v>
      </c>
      <c r="E294" s="10">
        <v>0.44</v>
      </c>
      <c r="F294" s="11">
        <f t="shared" si="23"/>
        <v>277.45635746826594</v>
      </c>
      <c r="G294" s="8">
        <v>0.27</v>
      </c>
      <c r="H294" s="8">
        <v>0.54</v>
      </c>
      <c r="I294" s="8">
        <v>5.133</v>
      </c>
      <c r="J294" s="11">
        <v>81.746190476190478</v>
      </c>
      <c r="K294" s="8">
        <v>105.78</v>
      </c>
      <c r="L294" s="8">
        <v>313.14</v>
      </c>
      <c r="M294" s="8">
        <v>0.83</v>
      </c>
      <c r="N294" s="11">
        <v>4.5034099999999997</v>
      </c>
      <c r="O294" s="11">
        <f t="shared" si="28"/>
        <v>-1.7764316373708835E-3</v>
      </c>
      <c r="P294" s="11">
        <f t="shared" si="24"/>
        <v>317.31620065920663</v>
      </c>
      <c r="Q294" s="13">
        <v>0.45</v>
      </c>
      <c r="R294" s="11">
        <f t="shared" si="25"/>
        <v>300.6240561117018</v>
      </c>
      <c r="S294" s="13">
        <v>0.53</v>
      </c>
      <c r="T294" s="11">
        <f t="shared" si="27"/>
        <v>323.22509704819623</v>
      </c>
      <c r="U294" s="13">
        <v>0.51</v>
      </c>
      <c r="V294" s="11">
        <f t="shared" si="26"/>
        <v>441.70218476161261</v>
      </c>
      <c r="W294" s="8">
        <v>10.43</v>
      </c>
      <c r="X294" s="8">
        <v>3.71</v>
      </c>
      <c r="Y294" s="20">
        <v>3</v>
      </c>
    </row>
    <row r="295" spans="1:25" x14ac:dyDescent="0.3">
      <c r="A295" s="6">
        <v>45444</v>
      </c>
      <c r="B295" s="14">
        <v>6941.51</v>
      </c>
      <c r="C295" s="10">
        <v>0.21</v>
      </c>
      <c r="D295" s="11">
        <f t="shared" ref="D295:D310" si="29">D294+D294*(C295/100)</f>
        <v>340.31091554658093</v>
      </c>
      <c r="E295" s="8">
        <v>-0.19</v>
      </c>
      <c r="F295" s="11">
        <f t="shared" ref="F295:F312" si="30">F294+F294*(E295/100)</f>
        <v>276.92919038907621</v>
      </c>
      <c r="G295" s="10">
        <v>0.13</v>
      </c>
      <c r="H295" s="10">
        <v>0.2</v>
      </c>
      <c r="I295" s="10">
        <v>5.3890000000000002</v>
      </c>
      <c r="J295" s="11">
        <v>82.246000000000009</v>
      </c>
      <c r="K295" s="10">
        <v>106.66</v>
      </c>
      <c r="L295" s="10">
        <v>313.13</v>
      </c>
      <c r="M295" s="10">
        <v>0.79</v>
      </c>
      <c r="N295" s="11">
        <v>4.5012800000000004</v>
      </c>
      <c r="O295" s="11">
        <f t="shared" si="28"/>
        <v>-4.7319873458200754E-2</v>
      </c>
      <c r="P295" s="11">
        <f t="shared" ref="P295:P312" si="31">P294+P294*(O295/100)</f>
        <v>317.16604703459234</v>
      </c>
      <c r="Q295" s="13">
        <v>0.64</v>
      </c>
      <c r="R295" s="11">
        <f t="shared" ref="R295:R312" si="32">R294+R294*(Q295/100)</f>
        <v>302.54805007081671</v>
      </c>
      <c r="S295" s="13">
        <v>0.34</v>
      </c>
      <c r="T295" s="11">
        <f t="shared" si="27"/>
        <v>324.32406237816008</v>
      </c>
      <c r="U295" s="13">
        <v>-0.64</v>
      </c>
      <c r="V295" s="11">
        <f t="shared" ref="V295:V312" si="33">V294+V294*(U295/100)</f>
        <v>438.87529077913831</v>
      </c>
      <c r="W295" s="10">
        <v>9.9</v>
      </c>
      <c r="X295" s="10">
        <v>3.7</v>
      </c>
      <c r="Y295" s="20">
        <v>3</v>
      </c>
    </row>
    <row r="296" spans="1:25" x14ac:dyDescent="0.3">
      <c r="A296" s="6">
        <v>45474</v>
      </c>
      <c r="B296" s="7">
        <v>6967.89</v>
      </c>
      <c r="C296" s="8">
        <v>0.38</v>
      </c>
      <c r="D296" s="11">
        <f t="shared" si="29"/>
        <v>341.60409702565795</v>
      </c>
      <c r="E296" s="10">
        <v>1.82</v>
      </c>
      <c r="F296" s="11">
        <f t="shared" si="30"/>
        <v>281.96930165415739</v>
      </c>
      <c r="G296" s="8">
        <v>0.14000000000000001</v>
      </c>
      <c r="H296" s="8">
        <v>0.13</v>
      </c>
      <c r="I296" s="8">
        <v>5.5419999999999998</v>
      </c>
      <c r="J296" s="11">
        <v>85.153043478260869</v>
      </c>
      <c r="K296" s="8">
        <v>107.08</v>
      </c>
      <c r="L296" s="8">
        <v>313.57</v>
      </c>
      <c r="M296" s="8">
        <v>0.91</v>
      </c>
      <c r="N296" s="11">
        <v>4.4362700000000004</v>
      </c>
      <c r="O296" s="11">
        <f t="shared" si="28"/>
        <v>-1.4654202742393949</v>
      </c>
      <c r="P296" s="11">
        <f t="shared" si="31"/>
        <v>312.51823147834375</v>
      </c>
      <c r="Q296" s="13">
        <v>3.15</v>
      </c>
      <c r="R296" s="11">
        <f t="shared" si="32"/>
        <v>312.07831364804747</v>
      </c>
      <c r="S296" s="13">
        <v>5.9</v>
      </c>
      <c r="T296" s="11">
        <f t="shared" ref="T296:T312" si="34">T295+T295*(S296/100)</f>
        <v>343.45918205847153</v>
      </c>
      <c r="U296" s="13">
        <v>1.03</v>
      </c>
      <c r="V296" s="11">
        <f t="shared" si="33"/>
        <v>443.39570627416344</v>
      </c>
      <c r="W296" s="8">
        <v>11.48</v>
      </c>
      <c r="X296" s="8">
        <v>3.84</v>
      </c>
      <c r="Y296" s="20">
        <v>3</v>
      </c>
    </row>
    <row r="297" spans="1:25" x14ac:dyDescent="0.3">
      <c r="A297" s="6">
        <v>45505</v>
      </c>
      <c r="B297" s="14">
        <v>6966.5</v>
      </c>
      <c r="C297" s="10">
        <v>-0.02</v>
      </c>
      <c r="D297" s="11">
        <f t="shared" si="29"/>
        <v>341.53577620625282</v>
      </c>
      <c r="E297" s="8">
        <v>0</v>
      </c>
      <c r="F297" s="11">
        <f t="shared" si="30"/>
        <v>281.96930165415739</v>
      </c>
      <c r="G297" s="10">
        <v>0.38</v>
      </c>
      <c r="H297" s="10">
        <v>-0.25</v>
      </c>
      <c r="I297" s="10">
        <v>5.5526</v>
      </c>
      <c r="J297" s="11">
        <v>80.355238095238093</v>
      </c>
      <c r="K297" s="10">
        <v>107.21</v>
      </c>
      <c r="L297" s="10">
        <v>314.13</v>
      </c>
      <c r="M297" s="10">
        <v>0.87</v>
      </c>
      <c r="N297" s="11">
        <v>4.2702200000000001</v>
      </c>
      <c r="O297" s="11">
        <f t="shared" si="28"/>
        <v>-3.888558434928417</v>
      </c>
      <c r="P297" s="11">
        <f t="shared" si="31"/>
        <v>300.36577742750347</v>
      </c>
      <c r="Q297" s="13">
        <v>0.67</v>
      </c>
      <c r="R297" s="11">
        <f t="shared" si="32"/>
        <v>314.16923834948938</v>
      </c>
      <c r="S297" s="13">
        <v>-0.18</v>
      </c>
      <c r="T297" s="11">
        <f t="shared" si="34"/>
        <v>342.84095553076628</v>
      </c>
      <c r="U297" s="13">
        <v>0.37</v>
      </c>
      <c r="V297" s="11">
        <f t="shared" si="33"/>
        <v>445.03627038737784</v>
      </c>
      <c r="W297" s="10">
        <v>10.95</v>
      </c>
      <c r="X297" s="10">
        <v>3.79</v>
      </c>
      <c r="Y297" s="20">
        <v>3</v>
      </c>
    </row>
    <row r="298" spans="1:25" x14ac:dyDescent="0.3">
      <c r="A298" s="6">
        <v>45536</v>
      </c>
      <c r="B298" s="7">
        <v>6997.15</v>
      </c>
      <c r="C298" s="8">
        <v>0.44</v>
      </c>
      <c r="D298" s="11">
        <f t="shared" si="29"/>
        <v>343.0385336215603</v>
      </c>
      <c r="E298" s="10">
        <v>0.14000000000000001</v>
      </c>
      <c r="F298" s="11">
        <f t="shared" si="30"/>
        <v>282.36405867647323</v>
      </c>
      <c r="G298" s="8">
        <v>0.59</v>
      </c>
      <c r="H298" s="8">
        <v>-0.01</v>
      </c>
      <c r="I298" s="8">
        <v>5.5415999999999999</v>
      </c>
      <c r="J298" s="11">
        <v>74.016666666666666</v>
      </c>
      <c r="K298" s="8">
        <v>107.93</v>
      </c>
      <c r="L298" s="8">
        <v>314.85000000000002</v>
      </c>
      <c r="M298" s="8">
        <v>0.84</v>
      </c>
      <c r="N298" s="11">
        <v>4.2149599999999996</v>
      </c>
      <c r="O298" s="11">
        <f t="shared" si="28"/>
        <v>-1.3110444701729207</v>
      </c>
      <c r="P298" s="11">
        <f t="shared" si="31"/>
        <v>296.42784851224826</v>
      </c>
      <c r="Q298" s="13">
        <v>-0.12</v>
      </c>
      <c r="R298" s="11">
        <f t="shared" si="32"/>
        <v>313.79223526346999</v>
      </c>
      <c r="S298" s="13">
        <v>0.75</v>
      </c>
      <c r="T298" s="11">
        <f t="shared" si="34"/>
        <v>345.412262697247</v>
      </c>
      <c r="U298" s="13">
        <v>-0.11</v>
      </c>
      <c r="V298" s="11">
        <f t="shared" si="33"/>
        <v>444.5467304899517</v>
      </c>
      <c r="W298" s="8">
        <v>10.56</v>
      </c>
      <c r="X298" s="8">
        <v>4.13</v>
      </c>
      <c r="Y298" s="20">
        <v>3</v>
      </c>
    </row>
    <row r="299" spans="1:25" x14ac:dyDescent="0.3">
      <c r="A299" s="6">
        <v>45566</v>
      </c>
      <c r="B299" s="14">
        <v>7036.33</v>
      </c>
      <c r="C299" s="10">
        <v>0.56000000000000005</v>
      </c>
      <c r="D299" s="11">
        <f t="shared" si="29"/>
        <v>344.95954940984103</v>
      </c>
      <c r="E299" s="8">
        <v>-0.38</v>
      </c>
      <c r="F299" s="11">
        <f t="shared" si="30"/>
        <v>281.29107525350264</v>
      </c>
      <c r="G299" s="10">
        <v>0.78</v>
      </c>
      <c r="H299" s="10">
        <v>0.31</v>
      </c>
      <c r="I299" s="10">
        <v>5.6241000000000003</v>
      </c>
      <c r="J299" s="11">
        <v>75.632608695652166</v>
      </c>
      <c r="K299" s="10">
        <v>107.97</v>
      </c>
      <c r="L299" s="10">
        <v>315.56</v>
      </c>
      <c r="M299" s="10">
        <v>0.93</v>
      </c>
      <c r="N299" s="11">
        <v>4.1637700000000004</v>
      </c>
      <c r="O299" s="11">
        <f t="shared" si="28"/>
        <v>-1.2294146890918369</v>
      </c>
      <c r="P299" s="11">
        <f t="shared" si="31"/>
        <v>292.78352100007976</v>
      </c>
      <c r="Q299" s="13">
        <v>-0.13</v>
      </c>
      <c r="R299" s="11">
        <f t="shared" si="32"/>
        <v>313.38430535762745</v>
      </c>
      <c r="S299" s="13">
        <v>-0.56000000000000005</v>
      </c>
      <c r="T299" s="11">
        <f t="shared" si="34"/>
        <v>343.47795402614241</v>
      </c>
      <c r="U299" s="13">
        <v>-0.2</v>
      </c>
      <c r="V299" s="11">
        <f t="shared" si="33"/>
        <v>443.65763702897181</v>
      </c>
      <c r="W299" s="10">
        <v>11.75</v>
      </c>
      <c r="X299" s="10">
        <v>4.1900000000000004</v>
      </c>
      <c r="Y299" s="20">
        <v>3</v>
      </c>
    </row>
    <row r="300" spans="1:25" x14ac:dyDescent="0.3">
      <c r="A300" s="6">
        <v>45597</v>
      </c>
      <c r="B300" s="7">
        <v>7063.77</v>
      </c>
      <c r="C300" s="8">
        <v>0.39</v>
      </c>
      <c r="D300" s="11">
        <f t="shared" si="29"/>
        <v>346.30489165253942</v>
      </c>
      <c r="E300" s="10">
        <v>0.89</v>
      </c>
      <c r="F300" s="11">
        <f t="shared" si="30"/>
        <v>283.79456582325884</v>
      </c>
      <c r="G300" s="8">
        <v>1.07</v>
      </c>
      <c r="H300" s="8">
        <v>0.67</v>
      </c>
      <c r="I300" s="8">
        <v>5.8071000000000002</v>
      </c>
      <c r="J300" s="11">
        <v>74.345238095238102</v>
      </c>
      <c r="K300" s="8">
        <v>107.84</v>
      </c>
      <c r="L300" s="8">
        <v>316.45</v>
      </c>
      <c r="M300" s="8">
        <v>0.79</v>
      </c>
      <c r="N300" s="11">
        <v>4.0862600000000002</v>
      </c>
      <c r="O300" s="11">
        <f t="shared" si="28"/>
        <v>-1.8968445473366888</v>
      </c>
      <c r="P300" s="11">
        <f t="shared" si="31"/>
        <v>287.22987274648938</v>
      </c>
      <c r="Q300" s="13">
        <v>-0.16</v>
      </c>
      <c r="R300" s="11">
        <f t="shared" si="32"/>
        <v>312.88289046905527</v>
      </c>
      <c r="S300" s="13">
        <v>-0.19</v>
      </c>
      <c r="T300" s="11">
        <f t="shared" si="34"/>
        <v>342.82534591349275</v>
      </c>
      <c r="U300" s="13">
        <v>0.03</v>
      </c>
      <c r="V300" s="11">
        <f t="shared" si="33"/>
        <v>443.7907343200805</v>
      </c>
      <c r="W300" s="8">
        <v>9.9</v>
      </c>
      <c r="X300" s="8">
        <v>4.45</v>
      </c>
      <c r="Y300" s="20">
        <v>3</v>
      </c>
    </row>
    <row r="301" spans="1:25" x14ac:dyDescent="0.3">
      <c r="A301" s="6">
        <v>45627</v>
      </c>
      <c r="B301" s="14">
        <v>7100.5</v>
      </c>
      <c r="C301" s="10">
        <v>0.52</v>
      </c>
      <c r="D301" s="11">
        <f t="shared" si="29"/>
        <v>348.10567708913266</v>
      </c>
      <c r="E301" s="8">
        <v>0.67</v>
      </c>
      <c r="F301" s="11">
        <f t="shared" si="30"/>
        <v>285.69598941427466</v>
      </c>
      <c r="G301" s="10">
        <v>1.19</v>
      </c>
      <c r="H301" s="10">
        <v>0.45</v>
      </c>
      <c r="I301" s="10">
        <v>6.0970000000000004</v>
      </c>
      <c r="J301" s="11">
        <v>73.84</v>
      </c>
      <c r="K301" s="10">
        <v>106.77</v>
      </c>
      <c r="L301" s="10">
        <v>317.60000000000002</v>
      </c>
      <c r="M301" s="10">
        <v>0.93</v>
      </c>
      <c r="N301" s="11">
        <v>3.9997699999999998</v>
      </c>
      <c r="O301" s="11">
        <f t="shared" si="28"/>
        <v>-2.1623743365243602</v>
      </c>
      <c r="P301" s="11">
        <f t="shared" si="31"/>
        <v>281.0188876913877</v>
      </c>
      <c r="Q301" s="13">
        <v>0.54</v>
      </c>
      <c r="R301" s="11">
        <f t="shared" si="32"/>
        <v>314.57245807758818</v>
      </c>
      <c r="S301" s="13">
        <v>1.92</v>
      </c>
      <c r="T301" s="11">
        <f t="shared" si="34"/>
        <v>349.40759255503184</v>
      </c>
      <c r="U301" s="13">
        <v>0.97</v>
      </c>
      <c r="V301" s="11">
        <f t="shared" si="33"/>
        <v>448.09550444298526</v>
      </c>
      <c r="W301" s="10">
        <v>11.75</v>
      </c>
      <c r="X301" s="10">
        <v>4.99</v>
      </c>
      <c r="Y301" s="20">
        <v>3</v>
      </c>
    </row>
    <row r="302" spans="1:25" x14ac:dyDescent="0.3">
      <c r="A302" s="6">
        <v>45658</v>
      </c>
      <c r="B302" s="7">
        <v>7111.86</v>
      </c>
      <c r="C302" s="8">
        <v>0.16</v>
      </c>
      <c r="D302" s="11">
        <f t="shared" si="29"/>
        <v>348.66264617247526</v>
      </c>
      <c r="E302" s="10">
        <v>1.3</v>
      </c>
      <c r="F302" s="11">
        <f t="shared" si="30"/>
        <v>289.41003727666026</v>
      </c>
      <c r="G302" s="8">
        <v>0.67</v>
      </c>
      <c r="H302" s="8">
        <v>0.8</v>
      </c>
      <c r="I302" s="8">
        <v>6.0217999999999998</v>
      </c>
      <c r="J302" s="11">
        <v>79.270454545454541</v>
      </c>
      <c r="K302" s="8">
        <v>108.33</v>
      </c>
      <c r="L302" s="8">
        <v>319.08999999999997</v>
      </c>
      <c r="M302" s="8">
        <v>1.01</v>
      </c>
      <c r="N302" s="11">
        <v>3.9333999999999998</v>
      </c>
      <c r="O302" s="11">
        <f t="shared" si="28"/>
        <v>-1.6873442823003011</v>
      </c>
      <c r="P302" s="11">
        <f t="shared" si="31"/>
        <v>276.27713155774319</v>
      </c>
      <c r="Q302" s="13">
        <v>0.61</v>
      </c>
      <c r="R302" s="11">
        <f t="shared" si="32"/>
        <v>316.49135007186146</v>
      </c>
      <c r="S302" s="13">
        <v>1.82</v>
      </c>
      <c r="T302" s="11">
        <f t="shared" si="34"/>
        <v>355.76681073953341</v>
      </c>
      <c r="U302" s="13">
        <v>0.97</v>
      </c>
      <c r="V302" s="11">
        <f t="shared" si="33"/>
        <v>452.44203083608221</v>
      </c>
      <c r="W302" s="8">
        <v>12.82</v>
      </c>
      <c r="X302" s="8">
        <v>5.47</v>
      </c>
      <c r="Y302" s="22">
        <v>3</v>
      </c>
    </row>
    <row r="303" spans="1:25" x14ac:dyDescent="0.3">
      <c r="A303" s="6">
        <v>45689</v>
      </c>
      <c r="B303" s="14">
        <v>7205.03</v>
      </c>
      <c r="C303" s="10">
        <v>1.31</v>
      </c>
      <c r="D303" s="11">
        <f t="shared" si="29"/>
        <v>353.23012683733469</v>
      </c>
      <c r="E303" s="8">
        <v>0.61</v>
      </c>
      <c r="F303" s="11">
        <f t="shared" si="30"/>
        <v>291.17543850404786</v>
      </c>
      <c r="G303" s="10">
        <v>0.51</v>
      </c>
      <c r="H303" s="10">
        <v>0.8</v>
      </c>
      <c r="I303" s="10">
        <v>5.7656000000000001</v>
      </c>
      <c r="J303" s="11">
        <v>75.438000000000002</v>
      </c>
      <c r="K303" s="10">
        <v>109.01</v>
      </c>
      <c r="L303" s="10">
        <v>319.77999999999997</v>
      </c>
      <c r="M303" s="10">
        <v>0.99</v>
      </c>
      <c r="N303" s="11">
        <v>3.9319000000000002</v>
      </c>
      <c r="O303" s="11">
        <f t="shared" si="28"/>
        <v>-3.8149495155004265E-2</v>
      </c>
      <c r="P303" s="11">
        <f t="shared" si="31"/>
        <v>276.17173322682521</v>
      </c>
      <c r="Q303" s="13">
        <v>2.78</v>
      </c>
      <c r="R303" s="11">
        <f t="shared" si="32"/>
        <v>325.28980960385923</v>
      </c>
      <c r="S303" s="13">
        <v>3.62</v>
      </c>
      <c r="T303" s="11">
        <f t="shared" si="34"/>
        <v>368.6455692883045</v>
      </c>
      <c r="U303" s="13">
        <v>4.3499999999999996</v>
      </c>
      <c r="V303" s="11">
        <f t="shared" si="33"/>
        <v>472.12325917745181</v>
      </c>
      <c r="W303" s="10">
        <v>12.55</v>
      </c>
      <c r="X303" s="10">
        <v>5.89</v>
      </c>
      <c r="Y303" s="22">
        <v>3</v>
      </c>
    </row>
    <row r="304" spans="1:25" x14ac:dyDescent="0.3">
      <c r="A304" s="6">
        <v>45717</v>
      </c>
      <c r="B304" s="7">
        <v>7245.38</v>
      </c>
      <c r="C304" s="8">
        <v>0.56000000000000005</v>
      </c>
      <c r="D304" s="11">
        <f t="shared" si="29"/>
        <v>355.20821554762375</v>
      </c>
      <c r="E304" s="10">
        <v>0.46</v>
      </c>
      <c r="F304" s="11">
        <f t="shared" si="30"/>
        <v>292.51484552116648</v>
      </c>
      <c r="G304" s="8">
        <v>0.44</v>
      </c>
      <c r="H304" s="8">
        <v>0.88</v>
      </c>
      <c r="I304" s="8">
        <v>5.7468000000000004</v>
      </c>
      <c r="J304" s="11">
        <v>72.732857142857142</v>
      </c>
      <c r="K304" s="8">
        <v>109.77</v>
      </c>
      <c r="L304" s="8">
        <v>319.62</v>
      </c>
      <c r="M304" s="8">
        <v>0.96</v>
      </c>
      <c r="N304" s="11">
        <v>3.8953899999999999</v>
      </c>
      <c r="O304" s="11">
        <f t="shared" si="28"/>
        <v>-0.93726173759239173</v>
      </c>
      <c r="P304" s="11">
        <f t="shared" si="31"/>
        <v>273.58328124124444</v>
      </c>
      <c r="Q304" s="13">
        <v>0.51</v>
      </c>
      <c r="R304" s="11">
        <f t="shared" si="32"/>
        <v>326.9487876328389</v>
      </c>
      <c r="S304" s="13">
        <v>0.16</v>
      </c>
      <c r="T304" s="11">
        <f t="shared" si="34"/>
        <v>369.23540219916578</v>
      </c>
      <c r="U304" s="13">
        <v>0.33</v>
      </c>
      <c r="V304" s="11">
        <f t="shared" si="33"/>
        <v>473.6812659327374</v>
      </c>
      <c r="W304" s="8">
        <v>12.15</v>
      </c>
      <c r="X304" s="8">
        <v>5.2</v>
      </c>
      <c r="Y304" s="22">
        <v>3</v>
      </c>
    </row>
    <row r="305" spans="1:25" x14ac:dyDescent="0.3">
      <c r="A305" s="6">
        <v>45748</v>
      </c>
      <c r="B305" s="14">
        <v>7276.54</v>
      </c>
      <c r="C305" s="10">
        <v>0.43</v>
      </c>
      <c r="D305" s="11">
        <f t="shared" si="29"/>
        <v>356.73561087447854</v>
      </c>
      <c r="E305" s="8">
        <v>-0.38</v>
      </c>
      <c r="F305" s="11">
        <f t="shared" si="30"/>
        <v>291.40328910818607</v>
      </c>
      <c r="G305" s="10">
        <v>0.55000000000000004</v>
      </c>
      <c r="H305" s="10">
        <v>0.39</v>
      </c>
      <c r="I305" s="10">
        <v>5.7836999999999996</v>
      </c>
      <c r="J305" s="11">
        <v>68.134500000000003</v>
      </c>
      <c r="K305" s="10">
        <v>110.25</v>
      </c>
      <c r="L305" s="10">
        <v>320.32</v>
      </c>
      <c r="M305" s="10">
        <v>1.06</v>
      </c>
      <c r="N305" s="11">
        <v>3.8663400000000001</v>
      </c>
      <c r="O305" s="11">
        <f t="shared" si="28"/>
        <v>-0.75135658012486739</v>
      </c>
      <c r="P305" s="11">
        <f t="shared" si="31"/>
        <v>271.52769525551685</v>
      </c>
      <c r="Q305" s="13">
        <v>-0.35</v>
      </c>
      <c r="R305" s="11">
        <f t="shared" si="32"/>
        <v>325.80446687612397</v>
      </c>
      <c r="S305" s="13">
        <v>-0.82</v>
      </c>
      <c r="T305" s="11">
        <f t="shared" si="34"/>
        <v>366.20767190113264</v>
      </c>
      <c r="U305" s="13">
        <v>-1.27</v>
      </c>
      <c r="V305" s="11">
        <f t="shared" si="33"/>
        <v>467.66551385539162</v>
      </c>
      <c r="W305" s="10">
        <v>13.49</v>
      </c>
      <c r="X305" s="10">
        <v>4.95</v>
      </c>
      <c r="Y305" s="22">
        <v>3</v>
      </c>
    </row>
    <row r="306" spans="1:25" x14ac:dyDescent="0.3">
      <c r="A306" s="6">
        <v>45778</v>
      </c>
      <c r="B306" s="7">
        <v>7295.46</v>
      </c>
      <c r="C306" s="8">
        <v>0.26</v>
      </c>
      <c r="D306" s="11">
        <f t="shared" si="29"/>
        <v>357.6631234627522</v>
      </c>
      <c r="E306" s="10">
        <v>-0.37</v>
      </c>
      <c r="F306" s="11">
        <f t="shared" si="30"/>
        <v>290.32509693848579</v>
      </c>
      <c r="G306" s="8">
        <v>0.18</v>
      </c>
      <c r="H306" s="8">
        <v>0.05</v>
      </c>
      <c r="I306" s="8">
        <v>5.6673999999999998</v>
      </c>
      <c r="J306" s="11">
        <v>64.453000000000003</v>
      </c>
      <c r="K306" s="8">
        <v>109</v>
      </c>
      <c r="L306" s="8">
        <v>320.58</v>
      </c>
      <c r="M306" s="8">
        <v>1.1399999999999999</v>
      </c>
      <c r="N306" s="11">
        <v>3.80924</v>
      </c>
      <c r="O306" s="11">
        <f t="shared" si="28"/>
        <v>-1.4989866745072549</v>
      </c>
      <c r="P306" s="11">
        <f t="shared" si="31"/>
        <v>267.45753128603997</v>
      </c>
      <c r="Q306" s="13">
        <v>-0.66</v>
      </c>
      <c r="R306" s="11">
        <f t="shared" si="32"/>
        <v>323.65415739474156</v>
      </c>
      <c r="S306" s="13">
        <v>-0.91</v>
      </c>
      <c r="T306" s="11">
        <f t="shared" si="34"/>
        <v>362.87518208683235</v>
      </c>
      <c r="U306" s="13">
        <v>-1.3</v>
      </c>
      <c r="V306" s="11">
        <f t="shared" si="33"/>
        <v>461.58586217527153</v>
      </c>
      <c r="W306" s="8">
        <v>14.57</v>
      </c>
      <c r="X306" s="8">
        <v>4.8600000000000003</v>
      </c>
      <c r="Y306" s="22">
        <v>3</v>
      </c>
    </row>
    <row r="307" spans="1:25" x14ac:dyDescent="0.3">
      <c r="A307" s="6">
        <v>45809</v>
      </c>
      <c r="B307" s="14">
        <v>7312.97</v>
      </c>
      <c r="C307" s="10">
        <v>0.24</v>
      </c>
      <c r="D307" s="11">
        <f t="shared" si="29"/>
        <v>358.52151495906281</v>
      </c>
      <c r="E307" s="8">
        <v>0.27</v>
      </c>
      <c r="F307" s="11">
        <f t="shared" si="30"/>
        <v>291.10897470021968</v>
      </c>
      <c r="G307" s="10">
        <v>-7.0000000000000007E-2</v>
      </c>
      <c r="H307" s="10">
        <v>0.25</v>
      </c>
      <c r="I307" s="10">
        <v>5.5471000000000004</v>
      </c>
      <c r="J307" s="11">
        <v>71.444761904761904</v>
      </c>
      <c r="K307" s="10">
        <v>108.79</v>
      </c>
      <c r="L307" s="10">
        <v>321.5</v>
      </c>
      <c r="M307" s="10">
        <v>1.1000000000000001</v>
      </c>
      <c r="N307" s="11">
        <v>3.7228599999999998</v>
      </c>
      <c r="O307" s="11">
        <f t="shared" si="28"/>
        <v>-2.3202591555954326</v>
      </c>
      <c r="P307" s="11">
        <f t="shared" si="31"/>
        <v>261.25182342904611</v>
      </c>
      <c r="Q307" s="13">
        <v>-0.34</v>
      </c>
      <c r="R307" s="11">
        <f t="shared" si="32"/>
        <v>322.55373325959943</v>
      </c>
      <c r="S307" s="13">
        <v>-0.61</v>
      </c>
      <c r="T307" s="11">
        <f t="shared" si="34"/>
        <v>360.66164347610265</v>
      </c>
      <c r="U307" s="13">
        <v>-1.36</v>
      </c>
      <c r="V307" s="11">
        <f t="shared" si="33"/>
        <v>455.30829444968782</v>
      </c>
      <c r="W307" s="10">
        <v>14.03</v>
      </c>
      <c r="X307" s="10">
        <v>4.62</v>
      </c>
      <c r="Y307" s="22">
        <v>3</v>
      </c>
    </row>
    <row r="308" spans="1:25" x14ac:dyDescent="0.3">
      <c r="A308" s="6">
        <v>45839</v>
      </c>
      <c r="B308" s="7">
        <v>7331.98</v>
      </c>
      <c r="C308" s="8">
        <v>0.26</v>
      </c>
      <c r="D308" s="11">
        <f t="shared" si="29"/>
        <v>359.45367089795639</v>
      </c>
      <c r="E308" s="10">
        <v>0.35</v>
      </c>
      <c r="F308" s="11">
        <f t="shared" si="30"/>
        <v>292.12785611167044</v>
      </c>
      <c r="G308" s="8">
        <v>-0.15</v>
      </c>
      <c r="H308" s="8">
        <v>0.31</v>
      </c>
      <c r="I308" s="8">
        <v>5.5285000000000002</v>
      </c>
      <c r="J308" s="11">
        <v>71.041304347826085</v>
      </c>
      <c r="K308" s="8">
        <v>108.22</v>
      </c>
      <c r="L308" s="8">
        <v>322.13</v>
      </c>
      <c r="M308" s="8">
        <v>1.28</v>
      </c>
      <c r="N308" s="11">
        <v>3.6786400000000001</v>
      </c>
      <c r="O308" s="11">
        <f t="shared" si="28"/>
        <v>-1.2020746797729516</v>
      </c>
      <c r="P308" s="11">
        <f t="shared" si="31"/>
        <v>258.1113814091604</v>
      </c>
      <c r="Q308" s="13">
        <v>-0.51</v>
      </c>
      <c r="R308" s="11">
        <f t="shared" si="32"/>
        <v>320.90870921997549</v>
      </c>
      <c r="S308" s="13">
        <v>-1.68</v>
      </c>
      <c r="T308" s="11">
        <f t="shared" si="34"/>
        <v>354.60252786570413</v>
      </c>
      <c r="U308" s="13">
        <v>-0.59</v>
      </c>
      <c r="V308" s="11">
        <f t="shared" si="33"/>
        <v>452.62197551243469</v>
      </c>
      <c r="W308" s="8">
        <v>16.489999999999998</v>
      </c>
      <c r="X308" s="8">
        <v>4.5199999999999996</v>
      </c>
      <c r="Y308" s="22">
        <v>3</v>
      </c>
    </row>
    <row r="309" spans="1:25" x14ac:dyDescent="0.3">
      <c r="A309" s="6">
        <v>45870</v>
      </c>
      <c r="B309" s="14">
        <v>7323.91</v>
      </c>
      <c r="C309" s="10">
        <v>-0.11</v>
      </c>
      <c r="D309" s="11">
        <f t="shared" si="29"/>
        <v>359.05827185996861</v>
      </c>
      <c r="E309" s="8">
        <v>-0.27</v>
      </c>
      <c r="F309" s="11">
        <f t="shared" si="30"/>
        <v>291.33911090016892</v>
      </c>
      <c r="G309" s="10">
        <v>-0.03</v>
      </c>
      <c r="H309" s="10">
        <v>0.14000000000000001</v>
      </c>
      <c r="I309" s="10">
        <v>5.4469000000000003</v>
      </c>
      <c r="J309" s="11">
        <v>67.87</v>
      </c>
      <c r="K309" s="10">
        <v>108.66</v>
      </c>
      <c r="L309" s="10">
        <v>323.36</v>
      </c>
      <c r="M309" s="10">
        <v>1.1599999999999999</v>
      </c>
      <c r="N309" s="11">
        <v>3.5843600000000002</v>
      </c>
      <c r="O309" s="11">
        <f t="shared" si="28"/>
        <v>-2.6303161512794451</v>
      </c>
      <c r="P309" s="11">
        <f t="shared" si="31"/>
        <v>251.32223605566477</v>
      </c>
      <c r="Q309" s="13">
        <v>-0.94</v>
      </c>
      <c r="R309" s="11">
        <f t="shared" si="32"/>
        <v>317.89216735330774</v>
      </c>
      <c r="S309" s="13">
        <v>-0.82</v>
      </c>
      <c r="T309" s="11">
        <f t="shared" si="34"/>
        <v>351.69478713720537</v>
      </c>
      <c r="U309" s="13">
        <v>0.16</v>
      </c>
      <c r="V309" s="11">
        <f t="shared" si="33"/>
        <v>453.34617067325456</v>
      </c>
      <c r="W309" s="10">
        <v>14.84</v>
      </c>
      <c r="X309" s="10">
        <v>4.2</v>
      </c>
      <c r="Y309" s="22">
        <v>3</v>
      </c>
    </row>
    <row r="310" spans="1:25" x14ac:dyDescent="0.3">
      <c r="A310" s="6">
        <v>45901</v>
      </c>
      <c r="B310" s="7">
        <v>7359.06</v>
      </c>
      <c r="C310" s="8">
        <v>0.48</v>
      </c>
      <c r="D310" s="11">
        <f t="shared" si="29"/>
        <v>360.78175156489647</v>
      </c>
      <c r="E310" s="10">
        <v>0.01</v>
      </c>
      <c r="F310" s="11">
        <f t="shared" si="30"/>
        <v>291.36824481125893</v>
      </c>
      <c r="G310" s="8">
        <v>7.0000000000000007E-2</v>
      </c>
      <c r="H310" s="8">
        <v>-7.0000000000000007E-2</v>
      </c>
      <c r="I310" s="8">
        <v>5.3673999999999999</v>
      </c>
      <c r="J310" s="11">
        <v>67.985454545454544</v>
      </c>
      <c r="K310" s="10">
        <v>108.66</v>
      </c>
      <c r="L310" s="10">
        <v>323.36</v>
      </c>
      <c r="M310" s="8">
        <v>1.22</v>
      </c>
      <c r="N310" s="11">
        <v>3.5522800000000001</v>
      </c>
      <c r="O310" s="11">
        <f t="shared" si="28"/>
        <v>-0.90308196425957721</v>
      </c>
      <c r="P310" s="11">
        <f t="shared" si="31"/>
        <v>249.05259026967218</v>
      </c>
      <c r="Q310" s="13">
        <v>0.75</v>
      </c>
      <c r="R310" s="11">
        <f t="shared" si="32"/>
        <v>320.27635860845754</v>
      </c>
      <c r="S310" s="13">
        <v>2.25</v>
      </c>
      <c r="T310" s="11">
        <f t="shared" si="34"/>
        <v>359.60791984779246</v>
      </c>
      <c r="U310" s="13">
        <v>0.38</v>
      </c>
      <c r="V310" s="11">
        <f t="shared" si="33"/>
        <v>455.06888612181291</v>
      </c>
      <c r="W310" s="8">
        <v>15.66</v>
      </c>
      <c r="X310" s="8">
        <v>4.47</v>
      </c>
      <c r="Y310" s="22">
        <v>3</v>
      </c>
    </row>
    <row r="311" spans="1:25" x14ac:dyDescent="0.3">
      <c r="A311" s="11"/>
      <c r="B311" s="11"/>
      <c r="C311" s="10">
        <v>0.09</v>
      </c>
      <c r="D311" s="11"/>
      <c r="E311" s="11"/>
      <c r="F311" s="11">
        <f t="shared" si="30"/>
        <v>291.36824481125893</v>
      </c>
      <c r="G311" s="11"/>
      <c r="H311" s="11"/>
      <c r="I311" s="11"/>
      <c r="J311" s="11"/>
      <c r="K311" s="11"/>
      <c r="L311" s="11"/>
      <c r="M311" s="11"/>
      <c r="N311" s="11">
        <v>3.6312199999999999</v>
      </c>
      <c r="O311" s="11">
        <f t="shared" si="28"/>
        <v>2.173925016936451</v>
      </c>
      <c r="P311" s="11">
        <f t="shared" si="31"/>
        <v>254.46680683487281</v>
      </c>
      <c r="Q311" s="13">
        <v>0.28999999999999998</v>
      </c>
      <c r="R311" s="11">
        <f t="shared" si="32"/>
        <v>321.20516004842204</v>
      </c>
      <c r="S311" s="13">
        <v>0.85</v>
      </c>
      <c r="T311" s="11">
        <f t="shared" si="34"/>
        <v>362.66458716649868</v>
      </c>
      <c r="U311" s="13">
        <v>-0.46</v>
      </c>
      <c r="V311" s="11">
        <f t="shared" si="33"/>
        <v>452.97556924565259</v>
      </c>
      <c r="W311" s="10">
        <v>16.489999999999998</v>
      </c>
      <c r="X311" s="10">
        <v>3.97</v>
      </c>
      <c r="Y311" s="22">
        <v>3</v>
      </c>
    </row>
    <row r="312" spans="1:25" x14ac:dyDescent="0.3">
      <c r="A312" s="11"/>
      <c r="B312" s="11"/>
      <c r="C312" s="11"/>
      <c r="D312" s="11"/>
      <c r="E312" s="11"/>
      <c r="F312" s="11">
        <f t="shared" si="30"/>
        <v>291.36824481125893</v>
      </c>
      <c r="G312" s="11"/>
      <c r="H312" s="11"/>
      <c r="I312" s="11"/>
      <c r="J312" s="11"/>
      <c r="K312" s="11"/>
      <c r="L312" s="11"/>
      <c r="M312" s="11"/>
      <c r="N312" s="11">
        <v>3.5528200000000001</v>
      </c>
      <c r="O312" s="11">
        <f t="shared" si="28"/>
        <v>-2.2066977781030226</v>
      </c>
      <c r="P312" s="11">
        <f t="shared" si="31"/>
        <v>248.85149346243796</v>
      </c>
      <c r="Q312" s="11"/>
      <c r="R312" s="11">
        <f t="shared" si="32"/>
        <v>321.20516004842204</v>
      </c>
      <c r="S312" s="11"/>
      <c r="T312" s="11">
        <f t="shared" si="34"/>
        <v>362.66458716649868</v>
      </c>
      <c r="U312" s="11"/>
      <c r="V312" s="11">
        <f t="shared" si="33"/>
        <v>452.97556924565259</v>
      </c>
      <c r="W312" s="8">
        <v>13.35</v>
      </c>
      <c r="X312" s="8">
        <v>4.0599999999999996</v>
      </c>
      <c r="Y312" s="22">
        <v>3</v>
      </c>
    </row>
    <row r="313" spans="1:25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0">
        <v>15.66</v>
      </c>
      <c r="X313" s="10">
        <v>3.97</v>
      </c>
      <c r="Y313" s="22">
        <v>3</v>
      </c>
    </row>
    <row r="314" spans="1:25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8">
        <v>14.84</v>
      </c>
      <c r="X314" s="8">
        <v>4</v>
      </c>
      <c r="Y314" s="22">
        <v>3</v>
      </c>
    </row>
    <row r="315" spans="1:25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0">
        <v>12.68</v>
      </c>
      <c r="X315" s="10">
        <v>3.94</v>
      </c>
      <c r="Y315" s="22">
        <v>3</v>
      </c>
    </row>
    <row r="316" spans="1:25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8">
        <v>15.53</v>
      </c>
      <c r="X316" s="8">
        <v>4.2300000000000004</v>
      </c>
      <c r="Y316" s="22">
        <v>3</v>
      </c>
    </row>
    <row r="317" spans="1:25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0">
        <v>4.03</v>
      </c>
      <c r="X317" s="16"/>
      <c r="Y317" s="22">
        <v>3</v>
      </c>
    </row>
    <row r="318" spans="1:25" ht="16.2" thickBot="1" x14ac:dyDescent="0.3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8" t="e" vm="1">
        <v>#VALUE!</v>
      </c>
      <c r="X318" s="1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A4B6-8BF1-40F6-95D7-53E8FF8B60F5}">
  <dimension ref="A1:C20"/>
  <sheetViews>
    <sheetView workbookViewId="0">
      <selection activeCell="B12" sqref="B12"/>
    </sheetView>
  </sheetViews>
  <sheetFormatPr defaultRowHeight="14.4" x14ac:dyDescent="0.3"/>
  <cols>
    <col min="1" max="1" width="45.33203125" bestFit="1" customWidth="1"/>
    <col min="2" max="2" width="96.6640625" bestFit="1" customWidth="1"/>
    <col min="3" max="3" width="82.5546875" bestFit="1" customWidth="1"/>
  </cols>
  <sheetData>
    <row r="1" spans="1:3" ht="21" x14ac:dyDescent="0.3">
      <c r="A1" s="2" t="s">
        <v>17</v>
      </c>
      <c r="B1" s="2" t="s">
        <v>57</v>
      </c>
      <c r="C1" s="2" t="s">
        <v>18</v>
      </c>
    </row>
    <row r="2" spans="1:3" x14ac:dyDescent="0.3">
      <c r="A2" s="1" t="s">
        <v>0</v>
      </c>
      <c r="B2" s="1" t="s">
        <v>19</v>
      </c>
      <c r="C2" s="1" t="s">
        <v>20</v>
      </c>
    </row>
    <row r="3" spans="1:3" x14ac:dyDescent="0.3">
      <c r="A3" s="1" t="s">
        <v>1</v>
      </c>
      <c r="B3" s="1" t="s">
        <v>21</v>
      </c>
      <c r="C3" s="1" t="s">
        <v>22</v>
      </c>
    </row>
    <row r="4" spans="1:3" x14ac:dyDescent="0.3">
      <c r="A4" s="1" t="s">
        <v>2</v>
      </c>
      <c r="B4" s="1" t="s">
        <v>23</v>
      </c>
      <c r="C4" s="1" t="s">
        <v>24</v>
      </c>
    </row>
    <row r="5" spans="1:3" x14ac:dyDescent="0.3">
      <c r="A5" s="1" t="s">
        <v>3</v>
      </c>
      <c r="B5" s="1" t="s">
        <v>25</v>
      </c>
      <c r="C5" s="1" t="s">
        <v>26</v>
      </c>
    </row>
    <row r="6" spans="1:3" x14ac:dyDescent="0.3">
      <c r="A6" s="1" t="s">
        <v>4</v>
      </c>
      <c r="B6" s="1" t="s">
        <v>27</v>
      </c>
      <c r="C6" s="1" t="s">
        <v>28</v>
      </c>
    </row>
    <row r="7" spans="1:3" x14ac:dyDescent="0.3">
      <c r="A7" s="1" t="s">
        <v>5</v>
      </c>
      <c r="B7" s="1" t="s">
        <v>29</v>
      </c>
      <c r="C7" s="1" t="s">
        <v>28</v>
      </c>
    </row>
    <row r="8" spans="1:3" x14ac:dyDescent="0.3">
      <c r="A8" s="1" t="s">
        <v>6</v>
      </c>
      <c r="B8" s="1" t="s">
        <v>30</v>
      </c>
      <c r="C8" s="1" t="s">
        <v>31</v>
      </c>
    </row>
    <row r="9" spans="1:3" x14ac:dyDescent="0.3">
      <c r="A9" s="1" t="s">
        <v>7</v>
      </c>
      <c r="B9" s="1" t="s">
        <v>32</v>
      </c>
      <c r="C9" s="1" t="s">
        <v>31</v>
      </c>
    </row>
    <row r="10" spans="1:3" x14ac:dyDescent="0.3">
      <c r="A10" s="1" t="s">
        <v>8</v>
      </c>
      <c r="B10" s="1" t="s">
        <v>33</v>
      </c>
      <c r="C10" s="1" t="s">
        <v>34</v>
      </c>
    </row>
    <row r="11" spans="1:3" x14ac:dyDescent="0.3">
      <c r="A11" s="1" t="s">
        <v>9</v>
      </c>
      <c r="B11" s="1" t="s">
        <v>35</v>
      </c>
      <c r="C11" s="1" t="s">
        <v>36</v>
      </c>
    </row>
    <row r="12" spans="1:3" x14ac:dyDescent="0.3">
      <c r="A12" s="1" t="s">
        <v>10</v>
      </c>
      <c r="B12" s="1" t="s">
        <v>37</v>
      </c>
      <c r="C12" s="1" t="s">
        <v>38</v>
      </c>
    </row>
    <row r="13" spans="1:3" x14ac:dyDescent="0.3">
      <c r="A13" s="1" t="s">
        <v>11</v>
      </c>
      <c r="B13" s="1" t="s">
        <v>39</v>
      </c>
      <c r="C13" s="1" t="s">
        <v>40</v>
      </c>
    </row>
    <row r="14" spans="1:3" x14ac:dyDescent="0.3">
      <c r="A14" s="1" t="s">
        <v>12</v>
      </c>
      <c r="B14" s="1" t="s">
        <v>41</v>
      </c>
      <c r="C14" s="1" t="s">
        <v>42</v>
      </c>
    </row>
    <row r="15" spans="1:3" x14ac:dyDescent="0.3">
      <c r="A15" s="1" t="s">
        <v>43</v>
      </c>
      <c r="B15" s="1" t="s">
        <v>44</v>
      </c>
      <c r="C15" s="1" t="s">
        <v>45</v>
      </c>
    </row>
    <row r="16" spans="1:3" x14ac:dyDescent="0.3">
      <c r="A16" s="1" t="s">
        <v>46</v>
      </c>
      <c r="B16" s="1" t="s">
        <v>47</v>
      </c>
      <c r="C16" s="1" t="s">
        <v>48</v>
      </c>
    </row>
    <row r="17" spans="1:3" x14ac:dyDescent="0.3">
      <c r="A17" s="1" t="s">
        <v>13</v>
      </c>
      <c r="B17" s="1" t="s">
        <v>49</v>
      </c>
      <c r="C17" s="1" t="s">
        <v>50</v>
      </c>
    </row>
    <row r="18" spans="1:3" x14ac:dyDescent="0.3">
      <c r="A18" s="1" t="s">
        <v>14</v>
      </c>
      <c r="B18" s="1" t="s">
        <v>51</v>
      </c>
      <c r="C18" s="1" t="s">
        <v>52</v>
      </c>
    </row>
    <row r="19" spans="1:3" x14ac:dyDescent="0.3">
      <c r="A19" s="1" t="s">
        <v>15</v>
      </c>
      <c r="B19" s="1" t="s">
        <v>53</v>
      </c>
      <c r="C19" s="1" t="s">
        <v>54</v>
      </c>
    </row>
    <row r="20" spans="1:3" x14ac:dyDescent="0.3">
      <c r="A20" s="1" t="s">
        <v>16</v>
      </c>
      <c r="B20" s="1" t="s">
        <v>55</v>
      </c>
      <c r="C20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Franck Minella</dc:creator>
  <cp:lastModifiedBy>Pedro Franck Minella</cp:lastModifiedBy>
  <dcterms:created xsi:type="dcterms:W3CDTF">2025-11-05T06:18:56Z</dcterms:created>
  <dcterms:modified xsi:type="dcterms:W3CDTF">2026-05-16T10:27:12Z</dcterms:modified>
</cp:coreProperties>
</file>